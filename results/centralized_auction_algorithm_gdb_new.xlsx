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hw\Desktop\PhD_resesarch\peer_auction\results\"/>
    </mc:Choice>
  </mc:AlternateContent>
  <xr:revisionPtr revIDLastSave="0" documentId="13_ncr:9_{96CE41A4-A489-4928-AFF6-23D8373ACE38}" xr6:coauthVersionLast="47" xr6:coauthVersionMax="47" xr10:uidLastSave="{00000000-0000-0000-0000-000000000000}"/>
  <bookViews>
    <workbookView xWindow="-96" yWindow="-96" windowWidth="23232" windowHeight="13872" xr2:uid="{522F295D-CAF2-46B9-901E-F54634CE5F6A}"/>
  </bookViews>
  <sheets>
    <sheet name="centralized_auction_algorithm_g" sheetId="1" r:id="rId1"/>
  </sheets>
  <calcPr calcId="0"/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3" i="1"/>
  <c r="A21" i="1"/>
  <c r="A22" i="1"/>
  <c r="A23" i="1"/>
  <c r="A24" i="1"/>
  <c r="A25" i="1"/>
  <c r="A26" i="1"/>
  <c r="A27" i="1"/>
  <c r="A28" i="1"/>
  <c r="A29" i="1"/>
  <c r="A30" i="1"/>
  <c r="A4" i="1"/>
  <c r="A31" i="1"/>
  <c r="A32" i="1"/>
  <c r="A33" i="1"/>
  <c r="A34" i="1"/>
  <c r="A35" i="1"/>
  <c r="A36" i="1"/>
  <c r="A37" i="1"/>
  <c r="A38" i="1"/>
  <c r="A5" i="1"/>
  <c r="A6" i="1"/>
  <c r="A7" i="1"/>
  <c r="A8" i="1"/>
  <c r="A9" i="1"/>
  <c r="A10" i="1"/>
  <c r="A2" i="1"/>
</calcChain>
</file>

<file path=xl/sharedStrings.xml><?xml version="1.0" encoding="utf-8"?>
<sst xmlns="http://schemas.openxmlformats.org/spreadsheetml/2006/main" count="54" uniqueCount="54">
  <si>
    <t>Instance Name</t>
  </si>
  <si>
    <t>Number of Nodes</t>
  </si>
  <si>
    <t>Number of Edges</t>
  </si>
  <si>
    <t>Number of Required Edges</t>
  </si>
  <si>
    <t>Capacity</t>
  </si>
  <si>
    <t>Recharge Time</t>
  </si>
  <si>
    <t>Total Number of Vehicles</t>
  </si>
  <si>
    <t>Number of Depot Nodes</t>
  </si>
  <si>
    <t>Number of vehicles failed</t>
  </si>
  <si>
    <t>Maximum Trip Time</t>
  </si>
  <si>
    <t>Number of Function Calls</t>
  </si>
  <si>
    <t>Execution time for auction algorithm in sec</t>
  </si>
  <si>
    <t>Maximum Trip Time after auction algorithm</t>
  </si>
  <si>
    <t>% increase in maximum trip time</t>
  </si>
  <si>
    <t>idle time</t>
  </si>
  <si>
    <t>Average time per function call</t>
  </si>
  <si>
    <t>gdb.1</t>
  </si>
  <si>
    <t>gdb.10</t>
  </si>
  <si>
    <t>gdb.11</t>
  </si>
  <si>
    <t>gdb.12</t>
  </si>
  <si>
    <t>gdb.13</t>
  </si>
  <si>
    <t>gdb.14</t>
  </si>
  <si>
    <t>gdb.15</t>
  </si>
  <si>
    <t>gdb.16</t>
  </si>
  <si>
    <t>gdb.17</t>
  </si>
  <si>
    <t>gdb.18</t>
  </si>
  <si>
    <t>gdb.19</t>
  </si>
  <si>
    <t>gdb.2</t>
  </si>
  <si>
    <t>gdb.20</t>
  </si>
  <si>
    <t>gdb.21</t>
  </si>
  <si>
    <t>gdb.22</t>
  </si>
  <si>
    <t>gdb.23</t>
  </si>
  <si>
    <t>gdb.24</t>
  </si>
  <si>
    <t>gdb.25</t>
  </si>
  <si>
    <t>gdb.26</t>
  </si>
  <si>
    <t>gdb.27</t>
  </si>
  <si>
    <t>gdb.28</t>
  </si>
  <si>
    <t>gdb.29</t>
  </si>
  <si>
    <t>gdb.3</t>
  </si>
  <si>
    <t>gdb.30</t>
  </si>
  <si>
    <t>gdb.31</t>
  </si>
  <si>
    <t>gdb.32</t>
  </si>
  <si>
    <t>gdb.33</t>
  </si>
  <si>
    <t>gdb.34</t>
  </si>
  <si>
    <t>gdb.35</t>
  </si>
  <si>
    <t>gdb.36</t>
  </si>
  <si>
    <t>gdb.37</t>
  </si>
  <si>
    <t>gdb.4</t>
  </si>
  <si>
    <t>gdb.5</t>
  </si>
  <si>
    <t>gdb.6</t>
  </si>
  <si>
    <t>gdb.7</t>
  </si>
  <si>
    <t>gdb.8</t>
  </si>
  <si>
    <t>gdb.9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</si>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</sst>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6154-3A3B-4225-B904-E72F8BA41825}">
  <dimension ref="A1:Q38"/>
  <sheetViews>
    <sheetView tabSelected="1" workbookViewId="0">
      <selection activeCell="S15" sqref="S15"/>
    </sheetView>
  </sheetViews>
  <sheetFormatPr defaultRowHeight="14.4" x14ac:dyDescent="0.55000000000000004"/>
  <sheetData>
    <row r="1" spans="1:17" x14ac:dyDescent="0.55000000000000004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55000000000000004">
      <c r="A2">
        <f>VALUE(MID(B2, FIND(".", B2) + 1, LEN(B2)))</f>
        <v>1</v>
      </c>
      <c r="B2" t="s">
        <v>16</v>
      </c>
      <c r="C2">
        <v>11</v>
      </c>
      <c r="D2">
        <v>19</v>
      </c>
      <c r="E2">
        <v>10</v>
      </c>
      <c r="F2">
        <v>40</v>
      </c>
      <c r="G2">
        <v>80</v>
      </c>
      <c r="H2">
        <v>5</v>
      </c>
      <c r="I2">
        <v>5</v>
      </c>
      <c r="J2">
        <v>3</v>
      </c>
      <c r="K2">
        <v>37</v>
      </c>
      <c r="L2">
        <v>3</v>
      </c>
      <c r="M2">
        <v>1.6E-2</v>
      </c>
      <c r="N2">
        <v>260</v>
      </c>
      <c r="O2">
        <v>602.70000000000005</v>
      </c>
      <c r="P2">
        <v>0</v>
      </c>
      <c r="Q2">
        <v>5.0000000000000001E-3</v>
      </c>
    </row>
    <row r="3" spans="1:17" x14ac:dyDescent="0.55000000000000004">
      <c r="A3">
        <f>VALUE(MID(B3, FIND(".", B3) + 1, LEN(B3)))</f>
        <v>2</v>
      </c>
      <c r="B3" t="s">
        <v>27</v>
      </c>
      <c r="C3">
        <v>7</v>
      </c>
      <c r="D3">
        <v>21</v>
      </c>
      <c r="E3">
        <v>11</v>
      </c>
      <c r="F3">
        <v>16</v>
      </c>
      <c r="G3">
        <v>32</v>
      </c>
      <c r="H3">
        <v>2</v>
      </c>
      <c r="I3">
        <v>2</v>
      </c>
      <c r="J3">
        <v>1</v>
      </c>
      <c r="K3">
        <v>97</v>
      </c>
      <c r="L3">
        <v>1</v>
      </c>
      <c r="M3">
        <v>2E-3</v>
      </c>
      <c r="N3">
        <v>193</v>
      </c>
      <c r="O3">
        <v>99</v>
      </c>
      <c r="P3">
        <v>0</v>
      </c>
      <c r="Q3">
        <v>2E-3</v>
      </c>
    </row>
    <row r="4" spans="1:17" x14ac:dyDescent="0.55000000000000004">
      <c r="A4">
        <f>VALUE(MID(B4, FIND(".", B4) + 1, LEN(B4)))</f>
        <v>3</v>
      </c>
      <c r="B4" t="s">
        <v>38</v>
      </c>
      <c r="C4">
        <v>7</v>
      </c>
      <c r="D4">
        <v>21</v>
      </c>
      <c r="E4">
        <v>11</v>
      </c>
      <c r="F4">
        <v>12</v>
      </c>
      <c r="G4">
        <v>24</v>
      </c>
      <c r="H4">
        <v>2</v>
      </c>
      <c r="I4">
        <v>2</v>
      </c>
      <c r="J4">
        <v>1</v>
      </c>
      <c r="K4">
        <v>12</v>
      </c>
      <c r="L4">
        <v>1</v>
      </c>
      <c r="M4">
        <v>0</v>
      </c>
      <c r="N4">
        <v>48</v>
      </c>
      <c r="O4">
        <v>300</v>
      </c>
      <c r="P4">
        <v>0</v>
      </c>
      <c r="Q4">
        <v>0</v>
      </c>
    </row>
    <row r="5" spans="1:17" x14ac:dyDescent="0.55000000000000004">
      <c r="A5">
        <f>VALUE(MID(B5, FIND(".", B5) + 1, LEN(B5)))</f>
        <v>4</v>
      </c>
      <c r="B5" t="s">
        <v>47</v>
      </c>
      <c r="C5">
        <v>7</v>
      </c>
      <c r="D5">
        <v>21</v>
      </c>
      <c r="E5">
        <v>11</v>
      </c>
      <c r="F5">
        <v>12</v>
      </c>
      <c r="G5">
        <v>24</v>
      </c>
      <c r="H5">
        <v>2</v>
      </c>
      <c r="I5">
        <v>2</v>
      </c>
      <c r="J5">
        <v>1</v>
      </c>
      <c r="K5">
        <v>12</v>
      </c>
      <c r="L5">
        <v>1</v>
      </c>
      <c r="M5">
        <v>0</v>
      </c>
      <c r="N5">
        <v>48</v>
      </c>
      <c r="O5">
        <v>300</v>
      </c>
      <c r="P5">
        <v>0</v>
      </c>
      <c r="Q5">
        <v>0</v>
      </c>
    </row>
    <row r="6" spans="1:17" x14ac:dyDescent="0.55000000000000004">
      <c r="A6">
        <f>VALUE(MID(B6, FIND(".", B6) + 1, LEN(B6)))</f>
        <v>5</v>
      </c>
      <c r="B6" t="s">
        <v>48</v>
      </c>
      <c r="C6">
        <v>7</v>
      </c>
      <c r="D6">
        <v>21</v>
      </c>
      <c r="E6">
        <v>11</v>
      </c>
      <c r="F6">
        <v>12</v>
      </c>
      <c r="G6">
        <v>24</v>
      </c>
      <c r="H6">
        <v>2</v>
      </c>
      <c r="I6">
        <v>2</v>
      </c>
      <c r="J6">
        <v>1</v>
      </c>
      <c r="K6">
        <v>12</v>
      </c>
      <c r="L6">
        <v>1</v>
      </c>
      <c r="M6">
        <v>0</v>
      </c>
      <c r="N6">
        <v>48</v>
      </c>
      <c r="O6">
        <v>300</v>
      </c>
      <c r="P6">
        <v>0</v>
      </c>
      <c r="Q6">
        <v>0</v>
      </c>
    </row>
    <row r="7" spans="1:17" x14ac:dyDescent="0.55000000000000004">
      <c r="A7">
        <f>VALUE(MID(B7, FIND(".", B7) + 1, LEN(B7)))</f>
        <v>6</v>
      </c>
      <c r="B7" t="s">
        <v>49</v>
      </c>
      <c r="C7">
        <v>12</v>
      </c>
      <c r="D7">
        <v>22</v>
      </c>
      <c r="E7">
        <v>11</v>
      </c>
      <c r="F7">
        <v>40</v>
      </c>
      <c r="G7">
        <v>80</v>
      </c>
      <c r="H7">
        <v>4</v>
      </c>
      <c r="I7">
        <v>4</v>
      </c>
      <c r="J7">
        <v>3</v>
      </c>
      <c r="K7">
        <v>136</v>
      </c>
      <c r="L7">
        <v>3</v>
      </c>
      <c r="M7">
        <v>0.114</v>
      </c>
      <c r="N7">
        <v>678</v>
      </c>
      <c r="O7">
        <v>398.5</v>
      </c>
      <c r="P7">
        <v>0</v>
      </c>
      <c r="Q7">
        <v>3.7999999999999999E-2</v>
      </c>
    </row>
    <row r="8" spans="1:17" x14ac:dyDescent="0.55000000000000004">
      <c r="A8">
        <f>VALUE(MID(B8, FIND(".", B8) + 1, LEN(B8)))</f>
        <v>7</v>
      </c>
      <c r="B8" t="s">
        <v>50</v>
      </c>
      <c r="C8">
        <v>12</v>
      </c>
      <c r="D8">
        <v>22</v>
      </c>
      <c r="E8">
        <v>11</v>
      </c>
      <c r="F8">
        <v>40</v>
      </c>
      <c r="G8">
        <v>80</v>
      </c>
      <c r="H8">
        <v>5</v>
      </c>
      <c r="I8">
        <v>5</v>
      </c>
      <c r="J8">
        <v>2</v>
      </c>
      <c r="K8">
        <v>122</v>
      </c>
      <c r="L8">
        <v>2</v>
      </c>
      <c r="M8">
        <v>1.2999999999999999E-2</v>
      </c>
      <c r="N8">
        <v>237</v>
      </c>
      <c r="O8">
        <v>94.3</v>
      </c>
      <c r="P8">
        <v>0</v>
      </c>
      <c r="Q8">
        <v>6.0000000000000001E-3</v>
      </c>
    </row>
    <row r="9" spans="1:17" x14ac:dyDescent="0.55000000000000004">
      <c r="A9">
        <f>VALUE(MID(B9, FIND(".", B9) + 1, LEN(B9)))</f>
        <v>8</v>
      </c>
      <c r="B9" t="s">
        <v>51</v>
      </c>
      <c r="C9">
        <v>12</v>
      </c>
      <c r="D9">
        <v>22</v>
      </c>
      <c r="E9">
        <v>11</v>
      </c>
      <c r="F9">
        <v>40</v>
      </c>
      <c r="G9">
        <v>80</v>
      </c>
      <c r="H9">
        <v>4</v>
      </c>
      <c r="I9">
        <v>4</v>
      </c>
      <c r="J9">
        <v>1</v>
      </c>
      <c r="K9">
        <v>127</v>
      </c>
      <c r="L9">
        <v>1</v>
      </c>
      <c r="M9">
        <v>3.0000000000000001E-3</v>
      </c>
      <c r="N9">
        <v>155</v>
      </c>
      <c r="O9">
        <v>22</v>
      </c>
      <c r="P9">
        <v>5</v>
      </c>
      <c r="Q9">
        <v>3.0000000000000001E-3</v>
      </c>
    </row>
    <row r="10" spans="1:17" x14ac:dyDescent="0.55000000000000004">
      <c r="A10">
        <f>VALUE(MID(B10, FIND(".", B10) + 1, LEN(B10)))</f>
        <v>9</v>
      </c>
      <c r="B10" t="s">
        <v>52</v>
      </c>
      <c r="C10">
        <v>12</v>
      </c>
      <c r="D10">
        <v>22</v>
      </c>
      <c r="E10">
        <v>11</v>
      </c>
      <c r="F10">
        <v>44</v>
      </c>
      <c r="G10">
        <v>88</v>
      </c>
      <c r="H10">
        <v>4</v>
      </c>
      <c r="I10">
        <v>4</v>
      </c>
      <c r="J10">
        <v>1</v>
      </c>
      <c r="K10">
        <v>43</v>
      </c>
      <c r="L10">
        <v>1</v>
      </c>
      <c r="M10">
        <v>6.0000000000000001E-3</v>
      </c>
      <c r="N10">
        <v>259</v>
      </c>
      <c r="O10">
        <v>502.3</v>
      </c>
      <c r="P10">
        <v>0</v>
      </c>
      <c r="Q10">
        <v>6.0000000000000001E-3</v>
      </c>
    </row>
    <row r="11" spans="1:17" x14ac:dyDescent="0.55000000000000004">
      <c r="A11">
        <f>VALUE(MID(B11, FIND(".", B11) + 1, LEN(B11)))</f>
        <v>10</v>
      </c>
      <c r="B11" t="s">
        <v>17</v>
      </c>
      <c r="C11">
        <v>12</v>
      </c>
      <c r="D11">
        <v>22</v>
      </c>
      <c r="E11">
        <v>11</v>
      </c>
      <c r="F11">
        <v>40</v>
      </c>
      <c r="G11">
        <v>80</v>
      </c>
      <c r="H11">
        <v>5</v>
      </c>
      <c r="I11">
        <v>5</v>
      </c>
      <c r="J11">
        <v>2</v>
      </c>
      <c r="K11">
        <v>39</v>
      </c>
      <c r="L11">
        <v>2</v>
      </c>
      <c r="M11">
        <v>8.0000000000000002E-3</v>
      </c>
      <c r="N11">
        <v>258</v>
      </c>
      <c r="O11">
        <v>561.5</v>
      </c>
      <c r="P11">
        <v>0</v>
      </c>
      <c r="Q11">
        <v>4.0000000000000001E-3</v>
      </c>
    </row>
    <row r="12" spans="1:17" x14ac:dyDescent="0.55000000000000004">
      <c r="A12">
        <f>VALUE(MID(B12, FIND(".", B12) + 1, LEN(B12)))</f>
        <v>11</v>
      </c>
      <c r="B12" t="s">
        <v>18</v>
      </c>
      <c r="C12">
        <v>12</v>
      </c>
      <c r="D12">
        <v>22</v>
      </c>
      <c r="E12">
        <v>11</v>
      </c>
      <c r="F12">
        <v>44</v>
      </c>
      <c r="G12">
        <v>88</v>
      </c>
      <c r="H12">
        <v>4</v>
      </c>
      <c r="I12">
        <v>4</v>
      </c>
      <c r="J12">
        <v>1</v>
      </c>
      <c r="K12">
        <v>39</v>
      </c>
      <c r="L12">
        <v>1</v>
      </c>
      <c r="M12">
        <v>4.0000000000000001E-3</v>
      </c>
      <c r="N12">
        <v>159</v>
      </c>
      <c r="O12">
        <v>307.7</v>
      </c>
      <c r="P12">
        <v>0</v>
      </c>
      <c r="Q12">
        <v>4.0000000000000001E-3</v>
      </c>
    </row>
    <row r="13" spans="1:17" x14ac:dyDescent="0.55000000000000004">
      <c r="A13">
        <f>VALUE(MID(B13, FIND(".", B13) + 1, LEN(B13)))</f>
        <v>12</v>
      </c>
      <c r="B13" t="s">
        <v>19</v>
      </c>
      <c r="C13">
        <v>11</v>
      </c>
      <c r="D13">
        <v>22</v>
      </c>
      <c r="E13">
        <v>11</v>
      </c>
      <c r="F13">
        <v>18</v>
      </c>
      <c r="G13">
        <v>36</v>
      </c>
      <c r="H13">
        <v>2</v>
      </c>
      <c r="I13">
        <v>2</v>
      </c>
      <c r="J13">
        <v>1</v>
      </c>
      <c r="K13">
        <v>107</v>
      </c>
      <c r="L13">
        <v>1</v>
      </c>
      <c r="M13">
        <v>1.0999999999999999E-2</v>
      </c>
      <c r="N13">
        <v>250</v>
      </c>
      <c r="O13">
        <v>133.6</v>
      </c>
      <c r="P13">
        <v>0</v>
      </c>
      <c r="Q13">
        <v>1.0999999999999999E-2</v>
      </c>
    </row>
    <row r="14" spans="1:17" x14ac:dyDescent="0.55000000000000004">
      <c r="A14">
        <f>VALUE(MID(B14, FIND(".", B14) + 1, LEN(B14)))</f>
        <v>13</v>
      </c>
      <c r="B14" t="s">
        <v>20</v>
      </c>
      <c r="C14">
        <v>12</v>
      </c>
      <c r="D14">
        <v>22</v>
      </c>
      <c r="E14">
        <v>11</v>
      </c>
      <c r="F14">
        <v>40</v>
      </c>
      <c r="G14">
        <v>80</v>
      </c>
      <c r="H14">
        <v>4</v>
      </c>
      <c r="I14">
        <v>4</v>
      </c>
      <c r="J14">
        <v>2</v>
      </c>
      <c r="K14">
        <v>136</v>
      </c>
      <c r="L14">
        <v>2</v>
      </c>
      <c r="M14">
        <v>2.8000000000000001E-2</v>
      </c>
      <c r="N14">
        <v>258</v>
      </c>
      <c r="O14">
        <v>89.7</v>
      </c>
      <c r="P14">
        <v>0</v>
      </c>
      <c r="Q14">
        <v>1.4E-2</v>
      </c>
    </row>
    <row r="15" spans="1:17" x14ac:dyDescent="0.55000000000000004">
      <c r="A15">
        <f>VALUE(MID(B15, FIND(".", B15) + 1, LEN(B15)))</f>
        <v>14</v>
      </c>
      <c r="B15" t="s">
        <v>21</v>
      </c>
      <c r="C15">
        <v>11</v>
      </c>
      <c r="D15">
        <v>22</v>
      </c>
      <c r="E15">
        <v>11</v>
      </c>
      <c r="F15">
        <v>18</v>
      </c>
      <c r="G15">
        <v>36</v>
      </c>
      <c r="H15">
        <v>2</v>
      </c>
      <c r="I15">
        <v>2</v>
      </c>
      <c r="J15">
        <v>1</v>
      </c>
      <c r="K15">
        <v>108</v>
      </c>
      <c r="L15">
        <v>1</v>
      </c>
      <c r="M15">
        <v>6.0000000000000001E-3</v>
      </c>
      <c r="N15">
        <v>216</v>
      </c>
      <c r="O15">
        <v>100</v>
      </c>
      <c r="P15">
        <v>0</v>
      </c>
      <c r="Q15">
        <v>6.0000000000000001E-3</v>
      </c>
    </row>
    <row r="16" spans="1:17" x14ac:dyDescent="0.55000000000000004">
      <c r="A16">
        <f>VALUE(MID(B16, FIND(".", B16) + 1, LEN(B16)))</f>
        <v>15</v>
      </c>
      <c r="B16" t="s">
        <v>22</v>
      </c>
      <c r="C16">
        <v>13</v>
      </c>
      <c r="D16">
        <v>23</v>
      </c>
      <c r="E16">
        <v>12</v>
      </c>
      <c r="F16">
        <v>60</v>
      </c>
      <c r="G16">
        <v>120</v>
      </c>
      <c r="H16">
        <v>3</v>
      </c>
      <c r="I16">
        <v>3</v>
      </c>
      <c r="J16">
        <v>2</v>
      </c>
      <c r="K16">
        <v>217</v>
      </c>
      <c r="L16">
        <v>2</v>
      </c>
      <c r="M16">
        <v>2.1000000000000001E-2</v>
      </c>
      <c r="N16">
        <v>885</v>
      </c>
      <c r="O16">
        <v>307.8</v>
      </c>
      <c r="P16">
        <v>0</v>
      </c>
      <c r="Q16">
        <v>1.0999999999999999E-2</v>
      </c>
    </row>
    <row r="17" spans="1:17" x14ac:dyDescent="0.55000000000000004">
      <c r="A17">
        <f>VALUE(MID(B17, FIND(".", B17) + 1, LEN(B17)))</f>
        <v>16</v>
      </c>
      <c r="B17" t="s">
        <v>23</v>
      </c>
      <c r="C17">
        <v>12</v>
      </c>
      <c r="D17">
        <v>25</v>
      </c>
      <c r="E17">
        <v>13</v>
      </c>
      <c r="F17">
        <v>38</v>
      </c>
      <c r="G17">
        <v>76</v>
      </c>
      <c r="H17">
        <v>2</v>
      </c>
      <c r="I17">
        <v>2</v>
      </c>
      <c r="J17">
        <v>1</v>
      </c>
      <c r="K17">
        <v>239</v>
      </c>
      <c r="L17">
        <v>1</v>
      </c>
      <c r="M17">
        <v>3.0000000000000001E-3</v>
      </c>
      <c r="N17">
        <v>449</v>
      </c>
      <c r="O17">
        <v>87.9</v>
      </c>
      <c r="P17">
        <v>0</v>
      </c>
      <c r="Q17">
        <v>3.0000000000000001E-3</v>
      </c>
    </row>
    <row r="18" spans="1:17" x14ac:dyDescent="0.55000000000000004">
      <c r="A18">
        <f>VALUE(MID(B18, FIND(".", B18) + 1, LEN(B18)))</f>
        <v>17</v>
      </c>
      <c r="B18" t="s">
        <v>24</v>
      </c>
      <c r="C18">
        <v>12</v>
      </c>
      <c r="D18">
        <v>25</v>
      </c>
      <c r="E18">
        <v>13</v>
      </c>
      <c r="F18">
        <v>38</v>
      </c>
      <c r="G18">
        <v>76</v>
      </c>
      <c r="H18">
        <v>2</v>
      </c>
      <c r="I18">
        <v>2</v>
      </c>
      <c r="J18">
        <v>1</v>
      </c>
      <c r="K18">
        <v>239</v>
      </c>
      <c r="L18">
        <v>1</v>
      </c>
      <c r="M18">
        <v>6.0000000000000001E-3</v>
      </c>
      <c r="N18">
        <v>351</v>
      </c>
      <c r="O18">
        <v>46.9</v>
      </c>
      <c r="P18">
        <v>0</v>
      </c>
      <c r="Q18">
        <v>6.0000000000000001E-3</v>
      </c>
    </row>
    <row r="19" spans="1:17" x14ac:dyDescent="0.55000000000000004">
      <c r="A19">
        <f>VALUE(MID(B19, FIND(".", B19) + 1, LEN(B19)))</f>
        <v>18</v>
      </c>
      <c r="B19" t="s">
        <v>25</v>
      </c>
      <c r="C19">
        <v>12</v>
      </c>
      <c r="D19">
        <v>25</v>
      </c>
      <c r="E19">
        <v>13</v>
      </c>
      <c r="F19">
        <v>38</v>
      </c>
      <c r="G19">
        <v>76</v>
      </c>
      <c r="H19">
        <v>2</v>
      </c>
      <c r="I19">
        <v>2</v>
      </c>
      <c r="J19">
        <v>1</v>
      </c>
      <c r="K19">
        <v>239</v>
      </c>
      <c r="L19">
        <v>1</v>
      </c>
      <c r="M19">
        <v>8.9999999999999993E-3</v>
      </c>
      <c r="N19">
        <v>553</v>
      </c>
      <c r="O19">
        <v>131.4</v>
      </c>
      <c r="P19">
        <v>0</v>
      </c>
      <c r="Q19">
        <v>8.9999999999999993E-3</v>
      </c>
    </row>
    <row r="20" spans="1:17" x14ac:dyDescent="0.55000000000000004">
      <c r="A20">
        <f>VALUE(MID(B20, FIND(".", B20) + 1, LEN(B20)))</f>
        <v>19</v>
      </c>
      <c r="B20" t="s">
        <v>26</v>
      </c>
      <c r="C20">
        <v>12</v>
      </c>
      <c r="D20">
        <v>26</v>
      </c>
      <c r="E20">
        <v>13</v>
      </c>
      <c r="F20">
        <v>40</v>
      </c>
      <c r="G20">
        <v>80</v>
      </c>
      <c r="H20">
        <v>3</v>
      </c>
      <c r="I20">
        <v>3</v>
      </c>
      <c r="J20">
        <v>1</v>
      </c>
      <c r="K20">
        <v>239</v>
      </c>
      <c r="L20">
        <v>1</v>
      </c>
      <c r="M20">
        <v>2E-3</v>
      </c>
      <c r="N20">
        <v>258</v>
      </c>
      <c r="O20">
        <v>7.9</v>
      </c>
      <c r="P20">
        <v>6</v>
      </c>
      <c r="Q20">
        <v>2E-3</v>
      </c>
    </row>
    <row r="21" spans="1:17" x14ac:dyDescent="0.55000000000000004">
      <c r="A21">
        <f>VALUE(MID(B21, FIND(".", B21) + 1, LEN(B21)))</f>
        <v>20</v>
      </c>
      <c r="B21" t="s">
        <v>28</v>
      </c>
      <c r="C21">
        <v>13</v>
      </c>
      <c r="D21">
        <v>26</v>
      </c>
      <c r="E21">
        <v>13</v>
      </c>
      <c r="F21">
        <v>44</v>
      </c>
      <c r="G21">
        <v>88</v>
      </c>
      <c r="H21">
        <v>5</v>
      </c>
      <c r="I21">
        <v>5</v>
      </c>
      <c r="J21">
        <v>4</v>
      </c>
      <c r="K21">
        <v>134</v>
      </c>
      <c r="L21">
        <v>4</v>
      </c>
      <c r="M21">
        <v>0.22800000000000001</v>
      </c>
      <c r="N21">
        <v>662</v>
      </c>
      <c r="O21">
        <v>394</v>
      </c>
      <c r="P21">
        <v>0</v>
      </c>
      <c r="Q21">
        <v>5.7000000000000002E-2</v>
      </c>
    </row>
    <row r="22" spans="1:17" x14ac:dyDescent="0.55000000000000004">
      <c r="A22">
        <f>VALUE(MID(B22, FIND(".", B22) + 1, LEN(B22)))</f>
        <v>21</v>
      </c>
      <c r="B22" t="s">
        <v>29</v>
      </c>
      <c r="C22">
        <v>8</v>
      </c>
      <c r="D22">
        <v>28</v>
      </c>
      <c r="E22">
        <v>14</v>
      </c>
      <c r="F22">
        <v>16</v>
      </c>
      <c r="G22">
        <v>32</v>
      </c>
      <c r="H22">
        <v>2</v>
      </c>
      <c r="I22">
        <v>2</v>
      </c>
      <c r="J22">
        <v>1</v>
      </c>
      <c r="K22">
        <v>64</v>
      </c>
      <c r="L22">
        <v>1</v>
      </c>
      <c r="M22">
        <v>1E-3</v>
      </c>
      <c r="N22">
        <v>159</v>
      </c>
      <c r="O22">
        <v>148.4</v>
      </c>
      <c r="P22">
        <v>0</v>
      </c>
      <c r="Q22">
        <v>1E-3</v>
      </c>
    </row>
    <row r="23" spans="1:17" x14ac:dyDescent="0.55000000000000004">
      <c r="A23">
        <f>VALUE(MID(B23, FIND(".", B23) + 1, LEN(B23)))</f>
        <v>22</v>
      </c>
      <c r="B23" t="s">
        <v>30</v>
      </c>
      <c r="C23">
        <v>8</v>
      </c>
      <c r="D23">
        <v>28</v>
      </c>
      <c r="E23">
        <v>14</v>
      </c>
      <c r="F23">
        <v>14</v>
      </c>
      <c r="G23">
        <v>28</v>
      </c>
      <c r="H23">
        <v>2</v>
      </c>
      <c r="I23">
        <v>2</v>
      </c>
      <c r="J23">
        <v>1</v>
      </c>
      <c r="K23">
        <v>46</v>
      </c>
      <c r="L23">
        <v>1</v>
      </c>
      <c r="M23">
        <v>0</v>
      </c>
      <c r="N23">
        <v>120</v>
      </c>
      <c r="O23">
        <v>160.9</v>
      </c>
      <c r="P23">
        <v>0</v>
      </c>
      <c r="Q23">
        <v>0</v>
      </c>
    </row>
    <row r="24" spans="1:17" x14ac:dyDescent="0.55000000000000004">
      <c r="A24">
        <f>VALUE(MID(B24, FIND(".", B24) + 1, LEN(B24)))</f>
        <v>23</v>
      </c>
      <c r="B24" t="s">
        <v>31</v>
      </c>
      <c r="C24">
        <v>8</v>
      </c>
      <c r="D24">
        <v>28</v>
      </c>
      <c r="E24">
        <v>14</v>
      </c>
      <c r="F24">
        <v>14</v>
      </c>
      <c r="G24">
        <v>28</v>
      </c>
      <c r="H24">
        <v>2</v>
      </c>
      <c r="I24">
        <v>2</v>
      </c>
      <c r="J24">
        <v>1</v>
      </c>
      <c r="K24">
        <v>46</v>
      </c>
      <c r="L24">
        <v>1</v>
      </c>
      <c r="M24">
        <v>0</v>
      </c>
      <c r="N24">
        <v>120</v>
      </c>
      <c r="O24">
        <v>160.9</v>
      </c>
      <c r="P24">
        <v>0</v>
      </c>
      <c r="Q24">
        <v>0</v>
      </c>
    </row>
    <row r="25" spans="1:17" x14ac:dyDescent="0.55000000000000004">
      <c r="A25">
        <f>VALUE(MID(B25, FIND(".", B25) + 1, LEN(B25)))</f>
        <v>24</v>
      </c>
      <c r="B25" t="s">
        <v>32</v>
      </c>
      <c r="C25">
        <v>8</v>
      </c>
      <c r="D25">
        <v>28</v>
      </c>
      <c r="E25">
        <v>14</v>
      </c>
      <c r="F25">
        <v>16</v>
      </c>
      <c r="G25">
        <v>32</v>
      </c>
      <c r="H25">
        <v>2</v>
      </c>
      <c r="I25">
        <v>2</v>
      </c>
      <c r="J25">
        <v>1</v>
      </c>
      <c r="K25">
        <v>95</v>
      </c>
      <c r="L25">
        <v>1</v>
      </c>
      <c r="M25">
        <v>2E-3</v>
      </c>
      <c r="N25">
        <v>188</v>
      </c>
      <c r="O25">
        <v>97.9</v>
      </c>
      <c r="P25">
        <v>0</v>
      </c>
      <c r="Q25">
        <v>2E-3</v>
      </c>
    </row>
    <row r="26" spans="1:17" x14ac:dyDescent="0.55000000000000004">
      <c r="A26">
        <f>VALUE(MID(B26, FIND(".", B26) + 1, LEN(B26)))</f>
        <v>25</v>
      </c>
      <c r="B26" t="s">
        <v>33</v>
      </c>
      <c r="C26">
        <v>10</v>
      </c>
      <c r="D26">
        <v>28</v>
      </c>
      <c r="E26">
        <v>14</v>
      </c>
      <c r="F26">
        <v>198</v>
      </c>
      <c r="G26">
        <v>396</v>
      </c>
      <c r="H26">
        <v>2</v>
      </c>
      <c r="I26">
        <v>2</v>
      </c>
      <c r="J26">
        <v>1</v>
      </c>
      <c r="K26">
        <v>110</v>
      </c>
      <c r="L26">
        <v>1</v>
      </c>
      <c r="M26">
        <v>5.0000000000000001E-3</v>
      </c>
      <c r="N26">
        <v>1012</v>
      </c>
      <c r="O26">
        <v>820</v>
      </c>
      <c r="P26">
        <v>0</v>
      </c>
      <c r="Q26">
        <v>5.0000000000000001E-3</v>
      </c>
    </row>
    <row r="27" spans="1:17" x14ac:dyDescent="0.55000000000000004">
      <c r="A27">
        <f>VALUE(MID(B27, FIND(".", B27) + 1, LEN(B27)))</f>
        <v>26</v>
      </c>
      <c r="B27" t="s">
        <v>34</v>
      </c>
      <c r="C27">
        <v>10</v>
      </c>
      <c r="D27">
        <v>28</v>
      </c>
      <c r="E27">
        <v>14</v>
      </c>
      <c r="F27">
        <v>198</v>
      </c>
      <c r="G27">
        <v>396</v>
      </c>
      <c r="H27">
        <v>2</v>
      </c>
      <c r="I27">
        <v>2</v>
      </c>
      <c r="J27">
        <v>1</v>
      </c>
      <c r="K27">
        <v>109</v>
      </c>
      <c r="L27">
        <v>1</v>
      </c>
      <c r="M27">
        <v>3.0000000000000001E-3</v>
      </c>
      <c r="N27">
        <v>614</v>
      </c>
      <c r="O27">
        <v>463.3</v>
      </c>
      <c r="P27">
        <v>0</v>
      </c>
      <c r="Q27">
        <v>3.0000000000000001E-3</v>
      </c>
    </row>
    <row r="28" spans="1:17" x14ac:dyDescent="0.55000000000000004">
      <c r="A28">
        <f>VALUE(MID(B28, FIND(".", B28) + 1, LEN(B28)))</f>
        <v>27</v>
      </c>
      <c r="B28" t="s">
        <v>35</v>
      </c>
      <c r="C28">
        <v>11</v>
      </c>
      <c r="D28">
        <v>33</v>
      </c>
      <c r="E28">
        <v>17</v>
      </c>
      <c r="F28">
        <v>18</v>
      </c>
      <c r="G28">
        <v>36</v>
      </c>
      <c r="H28">
        <v>2</v>
      </c>
      <c r="I28">
        <v>2</v>
      </c>
      <c r="J28">
        <v>1</v>
      </c>
      <c r="K28">
        <v>106</v>
      </c>
      <c r="L28">
        <v>1</v>
      </c>
      <c r="M28">
        <v>1.6E-2</v>
      </c>
      <c r="N28">
        <v>213</v>
      </c>
      <c r="O28">
        <v>100.9</v>
      </c>
      <c r="P28">
        <v>0</v>
      </c>
      <c r="Q28">
        <v>1.6E-2</v>
      </c>
    </row>
    <row r="29" spans="1:17" x14ac:dyDescent="0.55000000000000004">
      <c r="A29">
        <f>VALUE(MID(B29, FIND(".", B29) + 1, LEN(B29)))</f>
        <v>28</v>
      </c>
      <c r="B29" t="s">
        <v>36</v>
      </c>
      <c r="C29">
        <v>11</v>
      </c>
      <c r="D29">
        <v>33</v>
      </c>
      <c r="E29">
        <v>17</v>
      </c>
      <c r="F29">
        <v>18</v>
      </c>
      <c r="G29">
        <v>36</v>
      </c>
      <c r="H29">
        <v>2</v>
      </c>
      <c r="I29">
        <v>2</v>
      </c>
      <c r="J29">
        <v>1</v>
      </c>
      <c r="K29">
        <v>107</v>
      </c>
      <c r="L29">
        <v>1</v>
      </c>
      <c r="M29">
        <v>6.0000000000000001E-3</v>
      </c>
      <c r="N29">
        <v>249</v>
      </c>
      <c r="O29">
        <v>132.69999999999999</v>
      </c>
      <c r="P29">
        <v>0</v>
      </c>
      <c r="Q29">
        <v>6.0000000000000001E-3</v>
      </c>
    </row>
    <row r="30" spans="1:17" x14ac:dyDescent="0.55000000000000004">
      <c r="A30">
        <f>VALUE(MID(B30, FIND(".", B30) + 1, LEN(B30)))</f>
        <v>29</v>
      </c>
      <c r="B30" t="s">
        <v>37</v>
      </c>
      <c r="C30">
        <v>11</v>
      </c>
      <c r="D30">
        <v>33</v>
      </c>
      <c r="E30">
        <v>17</v>
      </c>
      <c r="F30">
        <v>18</v>
      </c>
      <c r="G30">
        <v>36</v>
      </c>
      <c r="H30">
        <v>2</v>
      </c>
      <c r="I30">
        <v>2</v>
      </c>
      <c r="J30">
        <v>1</v>
      </c>
      <c r="K30">
        <v>107</v>
      </c>
      <c r="L30">
        <v>1</v>
      </c>
      <c r="M30">
        <v>0</v>
      </c>
      <c r="N30">
        <v>159</v>
      </c>
      <c r="O30">
        <v>48.6</v>
      </c>
      <c r="P30">
        <v>0</v>
      </c>
      <c r="Q30">
        <v>0</v>
      </c>
    </row>
    <row r="31" spans="1:17" x14ac:dyDescent="0.55000000000000004">
      <c r="A31">
        <f>VALUE(MID(B31, FIND(".", B31) + 1, LEN(B31)))</f>
        <v>30</v>
      </c>
      <c r="B31" t="s">
        <v>39</v>
      </c>
      <c r="C31">
        <v>9</v>
      </c>
      <c r="D31">
        <v>36</v>
      </c>
      <c r="E31">
        <v>18</v>
      </c>
      <c r="F31">
        <v>16</v>
      </c>
      <c r="G31">
        <v>32</v>
      </c>
      <c r="H31">
        <v>2</v>
      </c>
      <c r="I31">
        <v>2</v>
      </c>
      <c r="J31">
        <v>1</v>
      </c>
      <c r="K31">
        <v>109</v>
      </c>
      <c r="L31">
        <v>1</v>
      </c>
      <c r="M31">
        <v>1.7000000000000001E-2</v>
      </c>
      <c r="N31">
        <v>250</v>
      </c>
      <c r="O31">
        <v>129.4</v>
      </c>
      <c r="P31">
        <v>0</v>
      </c>
      <c r="Q31">
        <v>1.7000000000000001E-2</v>
      </c>
    </row>
    <row r="32" spans="1:17" x14ac:dyDescent="0.55000000000000004">
      <c r="A32">
        <f>VALUE(MID(B32, FIND(".", B32) + 1, LEN(B32)))</f>
        <v>31</v>
      </c>
      <c r="B32" t="s">
        <v>40</v>
      </c>
      <c r="C32">
        <v>9</v>
      </c>
      <c r="D32">
        <v>36</v>
      </c>
      <c r="E32">
        <v>18</v>
      </c>
      <c r="F32">
        <v>16</v>
      </c>
      <c r="G32">
        <v>32</v>
      </c>
      <c r="H32">
        <v>2</v>
      </c>
      <c r="I32">
        <v>2</v>
      </c>
      <c r="J32">
        <v>1</v>
      </c>
      <c r="K32">
        <v>109</v>
      </c>
      <c r="L32">
        <v>1</v>
      </c>
      <c r="M32">
        <v>0</v>
      </c>
      <c r="N32">
        <v>236</v>
      </c>
      <c r="O32">
        <v>116.5</v>
      </c>
      <c r="P32">
        <v>0</v>
      </c>
      <c r="Q32">
        <v>0</v>
      </c>
    </row>
    <row r="33" spans="1:17" x14ac:dyDescent="0.55000000000000004">
      <c r="A33">
        <f>VALUE(MID(B33, FIND(".", B33) + 1, LEN(B33)))</f>
        <v>32</v>
      </c>
      <c r="B33" t="s">
        <v>41</v>
      </c>
      <c r="C33">
        <v>9</v>
      </c>
      <c r="D33">
        <v>36</v>
      </c>
      <c r="E33">
        <v>18</v>
      </c>
      <c r="F33">
        <v>16</v>
      </c>
      <c r="G33">
        <v>32</v>
      </c>
      <c r="H33">
        <v>2</v>
      </c>
      <c r="I33">
        <v>2</v>
      </c>
      <c r="J33">
        <v>1</v>
      </c>
      <c r="K33">
        <v>108</v>
      </c>
      <c r="L33">
        <v>1</v>
      </c>
      <c r="M33">
        <v>2E-3</v>
      </c>
      <c r="N33">
        <v>248</v>
      </c>
      <c r="O33">
        <v>129.6</v>
      </c>
      <c r="P33">
        <v>0</v>
      </c>
      <c r="Q33">
        <v>2E-3</v>
      </c>
    </row>
    <row r="34" spans="1:17" x14ac:dyDescent="0.55000000000000004">
      <c r="A34">
        <f>VALUE(MID(B34, FIND(".", B34) + 1, LEN(B34)))</f>
        <v>33</v>
      </c>
      <c r="B34" t="s">
        <v>42</v>
      </c>
      <c r="C34">
        <v>11</v>
      </c>
      <c r="D34">
        <v>44</v>
      </c>
      <c r="E34">
        <v>22</v>
      </c>
      <c r="F34">
        <v>18</v>
      </c>
      <c r="G34">
        <v>36</v>
      </c>
      <c r="H34">
        <v>2</v>
      </c>
      <c r="I34">
        <v>2</v>
      </c>
      <c r="J34">
        <v>1</v>
      </c>
      <c r="K34">
        <v>117</v>
      </c>
      <c r="L34">
        <v>1</v>
      </c>
      <c r="M34">
        <v>1.7000000000000001E-2</v>
      </c>
      <c r="N34">
        <v>270</v>
      </c>
      <c r="O34">
        <v>130.80000000000001</v>
      </c>
      <c r="P34">
        <v>0</v>
      </c>
      <c r="Q34">
        <v>1.7000000000000001E-2</v>
      </c>
    </row>
    <row r="35" spans="1:17" x14ac:dyDescent="0.55000000000000004">
      <c r="A35">
        <f>VALUE(MID(B35, FIND(".", B35) + 1, LEN(B35)))</f>
        <v>34</v>
      </c>
      <c r="B35" t="s">
        <v>43</v>
      </c>
      <c r="C35">
        <v>11</v>
      </c>
      <c r="D35">
        <v>44</v>
      </c>
      <c r="E35">
        <v>22</v>
      </c>
      <c r="F35">
        <v>18</v>
      </c>
      <c r="G35">
        <v>36</v>
      </c>
      <c r="H35">
        <v>2</v>
      </c>
      <c r="I35">
        <v>2</v>
      </c>
      <c r="J35">
        <v>1</v>
      </c>
      <c r="K35">
        <v>118</v>
      </c>
      <c r="L35">
        <v>1</v>
      </c>
      <c r="M35">
        <v>0</v>
      </c>
      <c r="N35">
        <v>223</v>
      </c>
      <c r="O35">
        <v>89</v>
      </c>
      <c r="P35">
        <v>0</v>
      </c>
      <c r="Q35">
        <v>0</v>
      </c>
    </row>
    <row r="36" spans="1:17" x14ac:dyDescent="0.55000000000000004">
      <c r="A36">
        <f>VALUE(MID(B36, FIND(".", B36) + 1, LEN(B36)))</f>
        <v>35</v>
      </c>
      <c r="B36" t="s">
        <v>44</v>
      </c>
      <c r="C36">
        <v>11</v>
      </c>
      <c r="D36">
        <v>44</v>
      </c>
      <c r="E36">
        <v>22</v>
      </c>
      <c r="F36">
        <v>18</v>
      </c>
      <c r="G36">
        <v>36</v>
      </c>
      <c r="H36">
        <v>2</v>
      </c>
      <c r="I36">
        <v>2</v>
      </c>
      <c r="J36">
        <v>1</v>
      </c>
      <c r="K36">
        <v>116</v>
      </c>
      <c r="L36">
        <v>1</v>
      </c>
      <c r="M36">
        <v>4.0000000000000001E-3</v>
      </c>
      <c r="N36">
        <v>268</v>
      </c>
      <c r="O36">
        <v>131</v>
      </c>
      <c r="P36">
        <v>0</v>
      </c>
      <c r="Q36">
        <v>4.0000000000000001E-3</v>
      </c>
    </row>
    <row r="37" spans="1:17" x14ac:dyDescent="0.55000000000000004">
      <c r="A37">
        <f>VALUE(MID(B37, FIND(".", B37) + 1, LEN(B37)))</f>
        <v>36</v>
      </c>
      <c r="B37" t="s">
        <v>45</v>
      </c>
      <c r="C37">
        <v>11</v>
      </c>
      <c r="D37">
        <v>44</v>
      </c>
      <c r="E37">
        <v>22</v>
      </c>
      <c r="F37">
        <v>18</v>
      </c>
      <c r="G37">
        <v>36</v>
      </c>
      <c r="H37">
        <v>2</v>
      </c>
      <c r="I37">
        <v>2</v>
      </c>
      <c r="J37">
        <v>1</v>
      </c>
      <c r="K37">
        <v>117</v>
      </c>
      <c r="L37">
        <v>1</v>
      </c>
      <c r="M37">
        <v>1.7000000000000001E-2</v>
      </c>
      <c r="N37">
        <v>270</v>
      </c>
      <c r="O37">
        <v>130.80000000000001</v>
      </c>
      <c r="P37">
        <v>0</v>
      </c>
      <c r="Q37">
        <v>1.7000000000000001E-2</v>
      </c>
    </row>
    <row r="38" spans="1:17" x14ac:dyDescent="0.55000000000000004">
      <c r="A38">
        <f>VALUE(MID(B38, FIND(".", B38) + 1, LEN(B38)))</f>
        <v>37</v>
      </c>
      <c r="B38" t="s">
        <v>46</v>
      </c>
      <c r="C38">
        <v>11</v>
      </c>
      <c r="D38">
        <v>44</v>
      </c>
      <c r="E38">
        <v>22</v>
      </c>
      <c r="F38">
        <v>18</v>
      </c>
      <c r="G38">
        <v>36</v>
      </c>
      <c r="H38">
        <v>2</v>
      </c>
      <c r="I38">
        <v>2</v>
      </c>
      <c r="J38">
        <v>1</v>
      </c>
      <c r="K38">
        <v>117</v>
      </c>
      <c r="L38">
        <v>1</v>
      </c>
      <c r="M38">
        <v>5.0000000000000001E-3</v>
      </c>
      <c r="N38">
        <v>255</v>
      </c>
      <c r="O38">
        <v>117.9</v>
      </c>
      <c r="P38">
        <v>0</v>
      </c>
      <c r="Q38">
        <v>5.0000000000000001E-3</v>
      </c>
    </row>
  </sheetData>
  <sortState xmlns:xlrd2="http://schemas.microsoft.com/office/spreadsheetml/2017/richdata2" ref="A2:Q38">
    <sortCondition ref="A2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centralized_auction_algorithm_g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Eashwar Sathyamurthy</dc:creator>
  <cp:lastModifiedBy>Eashwar Sathyamurthy</cp:lastModifiedBy>
  <dcterms:created xsi:type="dcterms:W3CDTF">2025-11-15T03:28:56Z</dcterms:created>
  <dcterms:modified xsi:type="dcterms:W3CDTF">2025-11-15T03:30:25Z</dcterms:modified>
</cp:coreProperties>
</file>