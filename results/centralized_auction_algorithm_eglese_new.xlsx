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esktop\PhD_resesarch\peer_auction\results\"/>
    </mc:Choice>
  </mc:AlternateContent>
  <xr:revisionPtr revIDLastSave="0" documentId="13_ncr:1_{1A8180EF-6F3B-47ED-A823-D370B3F7A9A6}" xr6:coauthVersionLast="47" xr6:coauthVersionMax="47" xr10:uidLastSave="{00000000-0000-0000-0000-000000000000}"/>
  <bookViews>
    <workbookView xWindow="-96" yWindow="-96" windowWidth="23232" windowHeight="13872" xr2:uid="{C809B50D-F50E-49B8-838D-7597133100CD}"/>
  </bookViews>
  <sheets>
    <sheet name="centralized_auction_algorithm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111" i="1"/>
  <c r="A112" i="1"/>
  <c r="A113" i="1"/>
  <c r="A108" i="1"/>
  <c r="A109" i="1"/>
  <c r="A110" i="1"/>
  <c r="A107" i="1"/>
  <c r="A97" i="1"/>
  <c r="A98" i="1"/>
  <c r="A99" i="1"/>
  <c r="A100" i="1"/>
  <c r="A92" i="1"/>
  <c r="A93" i="1"/>
  <c r="A94" i="1"/>
  <c r="A95" i="1"/>
  <c r="A96" i="1"/>
  <c r="A81" i="1"/>
  <c r="A88" i="1"/>
  <c r="A89" i="1"/>
  <c r="A90" i="1"/>
  <c r="A91" i="1"/>
  <c r="A76" i="1"/>
  <c r="A77" i="1"/>
  <c r="A78" i="1"/>
  <c r="A79" i="1"/>
  <c r="A80" i="1"/>
  <c r="A70" i="1"/>
  <c r="A71" i="1"/>
  <c r="A73" i="1"/>
  <c r="A74" i="1"/>
  <c r="A75" i="1"/>
  <c r="A61" i="1"/>
  <c r="A66" i="1"/>
  <c r="A67" i="1"/>
  <c r="A68" i="1"/>
  <c r="A69" i="1"/>
  <c r="A56" i="1"/>
  <c r="A57" i="1"/>
  <c r="A58" i="1"/>
  <c r="A59" i="1"/>
  <c r="A60" i="1"/>
  <c r="A11" i="1"/>
  <c r="A12" i="1"/>
  <c r="A13" i="1"/>
  <c r="A14" i="1"/>
  <c r="A15" i="1"/>
  <c r="A16" i="1"/>
  <c r="A17" i="1"/>
  <c r="A18" i="1"/>
  <c r="A19" i="1"/>
  <c r="A20" i="1"/>
  <c r="A3" i="1"/>
  <c r="A21" i="1"/>
  <c r="A4" i="1"/>
  <c r="A5" i="1"/>
  <c r="A6" i="1"/>
  <c r="A7" i="1"/>
  <c r="A8" i="1"/>
  <c r="A9" i="1"/>
  <c r="A10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62" i="1"/>
  <c r="A63" i="1"/>
  <c r="A64" i="1"/>
  <c r="A65" i="1"/>
  <c r="A72" i="1"/>
  <c r="A101" i="1"/>
  <c r="A82" i="1"/>
  <c r="A83" i="1"/>
  <c r="A84" i="1"/>
  <c r="A85" i="1"/>
  <c r="A86" i="1"/>
  <c r="A87" i="1"/>
  <c r="A102" i="1"/>
  <c r="A103" i="1"/>
  <c r="A104" i="1"/>
  <c r="A105" i="1"/>
  <c r="A106" i="1"/>
</calcChain>
</file>

<file path=xl/sharedStrings.xml><?xml version="1.0" encoding="utf-8"?>
<sst xmlns="http://schemas.openxmlformats.org/spreadsheetml/2006/main" count="129" uniqueCount="129">
  <si>
    <t>Instance Name</t>
  </si>
  <si>
    <t>Number of Nodes</t>
  </si>
  <si>
    <t>Number of Edges</t>
  </si>
  <si>
    <t>Number of Required Edges</t>
  </si>
  <si>
    <t>Capacity</t>
  </si>
  <si>
    <t>Recharge Time</t>
  </si>
  <si>
    <t>Total Number of Vehicles</t>
  </si>
  <si>
    <t>Number of Depot Nodes</t>
  </si>
  <si>
    <t>Number of vehicles failed</t>
  </si>
  <si>
    <t>Maximum Trip Time</t>
  </si>
  <si>
    <t>Number of Function Calls</t>
  </si>
  <si>
    <t>Execution time for auction algorithm in sec</t>
  </si>
  <si>
    <t>Maximum Trip Time after auction algorithm</t>
  </si>
  <si>
    <t>% increase in maximum trip time</t>
  </si>
  <si>
    <t>idle time</t>
  </si>
  <si>
    <t>Average time per function call</t>
  </si>
  <si>
    <t>eglese.1</t>
  </si>
  <si>
    <t>eglese.10</t>
  </si>
  <si>
    <t>eglese.11</t>
  </si>
  <si>
    <t>eglese.12</t>
  </si>
  <si>
    <t>eglese.13</t>
  </si>
  <si>
    <t>eglese.14</t>
  </si>
  <si>
    <t>eglese.15</t>
  </si>
  <si>
    <t>eglese.16</t>
  </si>
  <si>
    <t>eglese.17</t>
  </si>
  <si>
    <t>eglese.18</t>
  </si>
  <si>
    <t>eglese.19</t>
  </si>
  <si>
    <t>eglese.2</t>
  </si>
  <si>
    <t>eglese.20</t>
  </si>
  <si>
    <t>eglese.3</t>
  </si>
  <si>
    <t>eglese.4</t>
  </si>
  <si>
    <t>eglese.5</t>
  </si>
  <si>
    <t>eglese.6</t>
  </si>
  <si>
    <t>eglese.7</t>
  </si>
  <si>
    <t>eglese.8</t>
  </si>
  <si>
    <t>eglese.9</t>
  </si>
  <si>
    <t>eglese.21</t>
  </si>
  <si>
    <t>eglese.22</t>
  </si>
  <si>
    <t>eglese.23</t>
  </si>
  <si>
    <t>eglese.24</t>
  </si>
  <si>
    <t>eglese.25</t>
  </si>
  <si>
    <t>eglese.26</t>
  </si>
  <si>
    <t>eglese.27</t>
  </si>
  <si>
    <t>eglese.28</t>
  </si>
  <si>
    <t>eglese.29</t>
  </si>
  <si>
    <t>eglese.30</t>
  </si>
  <si>
    <t>eglese.31</t>
  </si>
  <si>
    <t>eglese.32</t>
  </si>
  <si>
    <t>eglese.33</t>
  </si>
  <si>
    <t>eglese.34</t>
  </si>
  <si>
    <t>eglese.35</t>
  </si>
  <si>
    <t>eglese.36</t>
  </si>
  <si>
    <t>eglese.37</t>
  </si>
  <si>
    <t>eglese.38</t>
  </si>
  <si>
    <t>eglese.39</t>
  </si>
  <si>
    <t>eglese.40</t>
  </si>
  <si>
    <t>eglese.41</t>
  </si>
  <si>
    <t>eglese.42</t>
  </si>
  <si>
    <t>eglese.43</t>
  </si>
  <si>
    <t>eglese.44</t>
  </si>
  <si>
    <t>eglese.45</t>
  </si>
  <si>
    <t>eglese.46</t>
  </si>
  <si>
    <t>eglese.47</t>
  </si>
  <si>
    <t>eglese.48</t>
  </si>
  <si>
    <t>eglese.49</t>
  </si>
  <si>
    <t>eglese.50</t>
  </si>
  <si>
    <t>eglese.51</t>
  </si>
  <si>
    <t>eglese.52</t>
  </si>
  <si>
    <t>eglese.53</t>
  </si>
  <si>
    <t>eglese.54</t>
  </si>
  <si>
    <t>eglese.61</t>
  </si>
  <si>
    <t>eglese.62</t>
  </si>
  <si>
    <t>eglese.63</t>
  </si>
  <si>
    <t>eglese.64</t>
  </si>
  <si>
    <t>eglese.71</t>
  </si>
  <si>
    <t>eglese.100</t>
  </si>
  <si>
    <t>eglese.81</t>
  </si>
  <si>
    <t>eglese.82</t>
  </si>
  <si>
    <t>eglese.83</t>
  </si>
  <si>
    <t>eglese.84</t>
  </si>
  <si>
    <t>eglese.85</t>
  </si>
  <si>
    <t>eglese.86</t>
  </si>
  <si>
    <t>eglese.101</t>
  </si>
  <si>
    <t>eglese.102</t>
  </si>
  <si>
    <t>eglese.103</t>
  </si>
  <si>
    <t>eglese.104</t>
  </si>
  <si>
    <t>eglese.105</t>
  </si>
  <si>
    <t>SNO</t>
  </si>
  <si>
    <t>eglese.55</t>
  </si>
  <si>
    <t>eglese.56</t>
  </si>
  <si>
    <t>eglese.57</t>
  </si>
  <si>
    <t>eglese.58</t>
  </si>
  <si>
    <t>eglese.59</t>
  </si>
  <si>
    <t>eglese.60</t>
  </si>
  <si>
    <t>eglese.65</t>
  </si>
  <si>
    <t>eglese.66</t>
  </si>
  <si>
    <t>eglese.67</t>
  </si>
  <si>
    <t>eglese.68</t>
  </si>
  <si>
    <t>eglese.69</t>
  </si>
  <si>
    <t>eglese.70</t>
  </si>
  <si>
    <t>eglese.72</t>
  </si>
  <si>
    <t>eglese.73</t>
  </si>
  <si>
    <t>eglese.74</t>
  </si>
  <si>
    <t>eglese.75</t>
  </si>
  <si>
    <t>eglese.76</t>
  </si>
  <si>
    <t>eglese.77</t>
  </si>
  <si>
    <t>eglese.78</t>
  </si>
  <si>
    <t>eglese.79</t>
  </si>
  <si>
    <t>eglese.80</t>
  </si>
  <si>
    <t>eglese.87</t>
  </si>
  <si>
    <t>eglese.88</t>
  </si>
  <si>
    <t>eglese.89</t>
  </si>
  <si>
    <t>eglese.90</t>
  </si>
  <si>
    <t>eglese.91</t>
  </si>
  <si>
    <t>eglese.92</t>
  </si>
  <si>
    <t>eglese.93</t>
  </si>
  <si>
    <t>eglese.94</t>
  </si>
  <si>
    <t>eglese.95</t>
  </si>
  <si>
    <t>eglese.106</t>
  </si>
  <si>
    <t>eglese.96</t>
  </si>
  <si>
    <t>eglese.97</t>
  </si>
  <si>
    <t>eglese.98</t>
  </si>
  <si>
    <t>eglese.99</t>
  </si>
  <si>
    <t>eglese.107</t>
  </si>
  <si>
    <t>eglese.108</t>
  </si>
  <si>
    <t>eglese.109</t>
  </si>
  <si>
    <t>eglese.110</t>
  </si>
  <si>
    <t>eglese.111</t>
  </si>
  <si>
    <t>eglese.112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</si>
</sst>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E10A-8129-4E03-A1BD-C6B02C951D95}">
  <dimension ref="A1:Q113"/>
  <sheetViews>
    <sheetView tabSelected="1" workbookViewId="0">
      <selection activeCell="R20" sqref="R20"/>
    </sheetView>
  </sheetViews>
  <sheetFormatPr defaultRowHeight="14.4" x14ac:dyDescent="0.55000000000000004"/>
  <sheetData>
    <row r="1" spans="1:17" x14ac:dyDescent="0.55000000000000004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55000000000000004">
      <c r="A2">
        <f>VALUE(MID(B2, FIND(".", B2) + 1, LEN(B2)))</f>
        <v>1</v>
      </c>
      <c r="B2" t="s">
        <v>16</v>
      </c>
      <c r="C2">
        <v>77</v>
      </c>
      <c r="D2">
        <v>98</v>
      </c>
      <c r="E2">
        <v>49</v>
      </c>
      <c r="F2">
        <v>184</v>
      </c>
      <c r="G2">
        <v>368</v>
      </c>
      <c r="H2">
        <v>12</v>
      </c>
      <c r="I2">
        <v>12</v>
      </c>
      <c r="J2">
        <v>5</v>
      </c>
      <c r="K2">
        <v>641</v>
      </c>
      <c r="L2">
        <v>5</v>
      </c>
      <c r="M2">
        <v>9.9410000000000007</v>
      </c>
      <c r="N2">
        <v>1621</v>
      </c>
      <c r="O2">
        <v>152.9</v>
      </c>
      <c r="P2">
        <v>0</v>
      </c>
      <c r="Q2">
        <v>1.988</v>
      </c>
    </row>
    <row r="3" spans="1:17" x14ac:dyDescent="0.55000000000000004">
      <c r="A3">
        <f t="shared" ref="A2:A33" si="0">VALUE(MID(B3, FIND(".", B3) + 1, LEN(B3)))</f>
        <v>2</v>
      </c>
      <c r="B3" t="s">
        <v>27</v>
      </c>
      <c r="C3">
        <v>77</v>
      </c>
      <c r="D3">
        <v>98</v>
      </c>
      <c r="E3">
        <v>49</v>
      </c>
      <c r="F3">
        <v>184</v>
      </c>
      <c r="G3">
        <v>368</v>
      </c>
      <c r="H3">
        <v>12</v>
      </c>
      <c r="I3">
        <v>12</v>
      </c>
      <c r="J3">
        <v>5</v>
      </c>
      <c r="K3">
        <v>620</v>
      </c>
      <c r="L3">
        <v>5</v>
      </c>
      <c r="M3">
        <v>11.138</v>
      </c>
      <c r="N3">
        <v>1713</v>
      </c>
      <c r="O3">
        <v>176.3</v>
      </c>
      <c r="P3">
        <v>91</v>
      </c>
      <c r="Q3">
        <v>2.2280000000000002</v>
      </c>
    </row>
    <row r="4" spans="1:17" x14ac:dyDescent="0.55000000000000004">
      <c r="A4">
        <f t="shared" si="0"/>
        <v>3</v>
      </c>
      <c r="B4" t="s">
        <v>29</v>
      </c>
      <c r="C4">
        <v>77</v>
      </c>
      <c r="D4">
        <v>98</v>
      </c>
      <c r="E4">
        <v>49</v>
      </c>
      <c r="F4">
        <v>184</v>
      </c>
      <c r="G4">
        <v>368</v>
      </c>
      <c r="H4">
        <v>12</v>
      </c>
      <c r="I4">
        <v>12</v>
      </c>
      <c r="J4">
        <v>4</v>
      </c>
      <c r="K4">
        <v>641</v>
      </c>
      <c r="L4">
        <v>4</v>
      </c>
      <c r="M4">
        <v>8.0229999999999997</v>
      </c>
      <c r="N4">
        <v>1118</v>
      </c>
      <c r="O4">
        <v>74.400000000000006</v>
      </c>
      <c r="P4">
        <v>0</v>
      </c>
      <c r="Q4">
        <v>2.0059999999999998</v>
      </c>
    </row>
    <row r="5" spans="1:17" x14ac:dyDescent="0.55000000000000004">
      <c r="A5">
        <f t="shared" si="0"/>
        <v>4</v>
      </c>
      <c r="B5" t="s">
        <v>30</v>
      </c>
      <c r="C5">
        <v>77</v>
      </c>
      <c r="D5">
        <v>98</v>
      </c>
      <c r="E5">
        <v>49</v>
      </c>
      <c r="F5">
        <v>184</v>
      </c>
      <c r="G5">
        <v>368</v>
      </c>
      <c r="H5">
        <v>12</v>
      </c>
      <c r="I5">
        <v>12</v>
      </c>
      <c r="J5">
        <v>3</v>
      </c>
      <c r="K5">
        <v>619</v>
      </c>
      <c r="L5">
        <v>3</v>
      </c>
      <c r="M5">
        <v>4.66</v>
      </c>
      <c r="N5">
        <v>1152</v>
      </c>
      <c r="O5">
        <v>86.1</v>
      </c>
      <c r="P5">
        <v>0</v>
      </c>
      <c r="Q5">
        <v>1.5529999999999999</v>
      </c>
    </row>
    <row r="6" spans="1:17" x14ac:dyDescent="0.55000000000000004">
      <c r="A6">
        <f t="shared" si="0"/>
        <v>5</v>
      </c>
      <c r="B6" t="s">
        <v>31</v>
      </c>
      <c r="C6">
        <v>77</v>
      </c>
      <c r="D6">
        <v>98</v>
      </c>
      <c r="E6">
        <v>49</v>
      </c>
      <c r="F6">
        <v>184</v>
      </c>
      <c r="G6">
        <v>368</v>
      </c>
      <c r="H6">
        <v>12</v>
      </c>
      <c r="I6">
        <v>12</v>
      </c>
      <c r="J6">
        <v>5</v>
      </c>
      <c r="K6">
        <v>655</v>
      </c>
      <c r="L6">
        <v>5</v>
      </c>
      <c r="M6">
        <v>11.78</v>
      </c>
      <c r="N6">
        <v>1594</v>
      </c>
      <c r="O6">
        <v>143.4</v>
      </c>
      <c r="P6">
        <v>0</v>
      </c>
      <c r="Q6">
        <v>2.3559999999999999</v>
      </c>
    </row>
    <row r="7" spans="1:17" x14ac:dyDescent="0.55000000000000004">
      <c r="A7">
        <f t="shared" si="0"/>
        <v>6</v>
      </c>
      <c r="B7" t="s">
        <v>32</v>
      </c>
      <c r="C7">
        <v>77</v>
      </c>
      <c r="D7">
        <v>98</v>
      </c>
      <c r="E7">
        <v>49</v>
      </c>
      <c r="F7">
        <v>184</v>
      </c>
      <c r="G7">
        <v>368</v>
      </c>
      <c r="H7">
        <v>12</v>
      </c>
      <c r="I7">
        <v>12</v>
      </c>
      <c r="J7">
        <v>6</v>
      </c>
      <c r="K7">
        <v>638</v>
      </c>
      <c r="L7">
        <v>6</v>
      </c>
      <c r="M7">
        <v>159.04</v>
      </c>
      <c r="N7">
        <v>2193</v>
      </c>
      <c r="O7">
        <v>243.7</v>
      </c>
      <c r="P7">
        <v>0</v>
      </c>
      <c r="Q7">
        <v>26.507000000000001</v>
      </c>
    </row>
    <row r="8" spans="1:17" x14ac:dyDescent="0.55000000000000004">
      <c r="A8">
        <f t="shared" si="0"/>
        <v>7</v>
      </c>
      <c r="B8" t="s">
        <v>33</v>
      </c>
      <c r="C8">
        <v>77</v>
      </c>
      <c r="D8">
        <v>98</v>
      </c>
      <c r="E8">
        <v>49</v>
      </c>
      <c r="F8">
        <v>184</v>
      </c>
      <c r="G8">
        <v>368</v>
      </c>
      <c r="H8">
        <v>12</v>
      </c>
      <c r="I8">
        <v>12</v>
      </c>
      <c r="J8">
        <v>1</v>
      </c>
      <c r="K8">
        <v>645</v>
      </c>
      <c r="L8">
        <v>1</v>
      </c>
      <c r="M8">
        <v>4.5999999999999999E-2</v>
      </c>
      <c r="N8">
        <v>1144</v>
      </c>
      <c r="O8">
        <v>77.400000000000006</v>
      </c>
      <c r="P8">
        <v>0</v>
      </c>
      <c r="Q8">
        <v>4.5999999999999999E-2</v>
      </c>
    </row>
    <row r="9" spans="1:17" x14ac:dyDescent="0.55000000000000004">
      <c r="A9">
        <f t="shared" si="0"/>
        <v>8</v>
      </c>
      <c r="B9" t="s">
        <v>34</v>
      </c>
      <c r="C9">
        <v>77</v>
      </c>
      <c r="D9">
        <v>98</v>
      </c>
      <c r="E9">
        <v>49</v>
      </c>
      <c r="F9">
        <v>184</v>
      </c>
      <c r="G9">
        <v>368</v>
      </c>
      <c r="H9">
        <v>12</v>
      </c>
      <c r="I9">
        <v>12</v>
      </c>
      <c r="J9">
        <v>6</v>
      </c>
      <c r="K9">
        <v>642</v>
      </c>
      <c r="L9">
        <v>6</v>
      </c>
      <c r="M9">
        <v>90.866</v>
      </c>
      <c r="N9">
        <v>1730</v>
      </c>
      <c r="O9">
        <v>169.5</v>
      </c>
      <c r="P9">
        <v>0</v>
      </c>
      <c r="Q9">
        <v>15.144</v>
      </c>
    </row>
    <row r="10" spans="1:17" x14ac:dyDescent="0.55000000000000004">
      <c r="A10">
        <f t="shared" si="0"/>
        <v>9</v>
      </c>
      <c r="B10" t="s">
        <v>35</v>
      </c>
      <c r="C10">
        <v>77</v>
      </c>
      <c r="D10">
        <v>98</v>
      </c>
      <c r="E10">
        <v>49</v>
      </c>
      <c r="F10">
        <v>184</v>
      </c>
      <c r="G10">
        <v>368</v>
      </c>
      <c r="H10">
        <v>12</v>
      </c>
      <c r="I10">
        <v>12</v>
      </c>
      <c r="J10">
        <v>3</v>
      </c>
      <c r="K10">
        <v>655</v>
      </c>
      <c r="L10">
        <v>3</v>
      </c>
      <c r="M10">
        <v>2.4159999999999999</v>
      </c>
      <c r="N10">
        <v>1591</v>
      </c>
      <c r="O10">
        <v>142.9</v>
      </c>
      <c r="P10">
        <v>0</v>
      </c>
      <c r="Q10">
        <v>0.80500000000000005</v>
      </c>
    </row>
    <row r="11" spans="1:17" x14ac:dyDescent="0.55000000000000004">
      <c r="A11">
        <f t="shared" si="0"/>
        <v>10</v>
      </c>
      <c r="B11" t="s">
        <v>17</v>
      </c>
      <c r="C11">
        <v>77</v>
      </c>
      <c r="D11">
        <v>98</v>
      </c>
      <c r="E11">
        <v>49</v>
      </c>
      <c r="F11">
        <v>184</v>
      </c>
      <c r="G11">
        <v>368</v>
      </c>
      <c r="H11">
        <v>12</v>
      </c>
      <c r="I11">
        <v>12</v>
      </c>
      <c r="J11">
        <v>3</v>
      </c>
      <c r="K11">
        <v>655</v>
      </c>
      <c r="L11">
        <v>3</v>
      </c>
      <c r="M11">
        <v>9.6820000000000004</v>
      </c>
      <c r="N11">
        <v>1119</v>
      </c>
      <c r="O11">
        <v>70.8</v>
      </c>
      <c r="P11">
        <v>0</v>
      </c>
      <c r="Q11">
        <v>3.2269999999999999</v>
      </c>
    </row>
    <row r="12" spans="1:17" x14ac:dyDescent="0.55000000000000004">
      <c r="A12">
        <f t="shared" si="0"/>
        <v>11</v>
      </c>
      <c r="B12" t="s">
        <v>18</v>
      </c>
      <c r="C12">
        <v>77</v>
      </c>
      <c r="D12">
        <v>98</v>
      </c>
      <c r="E12">
        <v>49</v>
      </c>
      <c r="F12">
        <v>184</v>
      </c>
      <c r="G12">
        <v>368</v>
      </c>
      <c r="H12">
        <v>12</v>
      </c>
      <c r="I12">
        <v>12</v>
      </c>
      <c r="J12">
        <v>5</v>
      </c>
      <c r="K12">
        <v>642</v>
      </c>
      <c r="L12">
        <v>4</v>
      </c>
      <c r="M12">
        <v>2.8359999999999999</v>
      </c>
      <c r="N12">
        <v>1217</v>
      </c>
      <c r="O12">
        <v>89.6</v>
      </c>
      <c r="P12">
        <v>0</v>
      </c>
      <c r="Q12">
        <v>0.70899999999999996</v>
      </c>
    </row>
    <row r="13" spans="1:17" x14ac:dyDescent="0.55000000000000004">
      <c r="A13">
        <f t="shared" si="0"/>
        <v>12</v>
      </c>
      <c r="B13" t="s">
        <v>19</v>
      </c>
      <c r="C13">
        <v>77</v>
      </c>
      <c r="D13">
        <v>98</v>
      </c>
      <c r="E13">
        <v>49</v>
      </c>
      <c r="F13">
        <v>184</v>
      </c>
      <c r="G13">
        <v>368</v>
      </c>
      <c r="H13">
        <v>12</v>
      </c>
      <c r="I13">
        <v>12</v>
      </c>
      <c r="J13">
        <v>6</v>
      </c>
      <c r="K13">
        <v>656</v>
      </c>
      <c r="L13">
        <v>6</v>
      </c>
      <c r="M13">
        <v>24.145</v>
      </c>
      <c r="N13">
        <v>2172</v>
      </c>
      <c r="O13">
        <v>231.1</v>
      </c>
      <c r="P13">
        <v>0</v>
      </c>
      <c r="Q13">
        <v>4.024</v>
      </c>
    </row>
    <row r="14" spans="1:17" x14ac:dyDescent="0.55000000000000004">
      <c r="A14">
        <f t="shared" si="0"/>
        <v>13</v>
      </c>
      <c r="B14" t="s">
        <v>20</v>
      </c>
      <c r="C14">
        <v>77</v>
      </c>
      <c r="D14">
        <v>98</v>
      </c>
      <c r="E14">
        <v>49</v>
      </c>
      <c r="F14">
        <v>184</v>
      </c>
      <c r="G14">
        <v>368</v>
      </c>
      <c r="H14">
        <v>12</v>
      </c>
      <c r="I14">
        <v>12</v>
      </c>
      <c r="J14">
        <v>1</v>
      </c>
      <c r="K14">
        <v>642</v>
      </c>
      <c r="L14">
        <v>1</v>
      </c>
      <c r="M14">
        <v>0.67800000000000005</v>
      </c>
      <c r="N14">
        <v>1141</v>
      </c>
      <c r="O14">
        <v>77.7</v>
      </c>
      <c r="P14">
        <v>0</v>
      </c>
      <c r="Q14">
        <v>0.67800000000000005</v>
      </c>
    </row>
    <row r="15" spans="1:17" x14ac:dyDescent="0.55000000000000004">
      <c r="A15">
        <f t="shared" si="0"/>
        <v>14</v>
      </c>
      <c r="B15" t="s">
        <v>21</v>
      </c>
      <c r="C15">
        <v>77</v>
      </c>
      <c r="D15">
        <v>98</v>
      </c>
      <c r="E15">
        <v>49</v>
      </c>
      <c r="F15">
        <v>184</v>
      </c>
      <c r="G15">
        <v>368</v>
      </c>
      <c r="H15">
        <v>12</v>
      </c>
      <c r="I15">
        <v>12</v>
      </c>
      <c r="J15">
        <v>5</v>
      </c>
      <c r="K15">
        <v>646</v>
      </c>
      <c r="L15">
        <v>5</v>
      </c>
      <c r="M15">
        <v>21.538</v>
      </c>
      <c r="N15">
        <v>1648</v>
      </c>
      <c r="O15">
        <v>155.1</v>
      </c>
      <c r="P15">
        <v>0</v>
      </c>
      <c r="Q15">
        <v>4.3079999999999998</v>
      </c>
    </row>
    <row r="16" spans="1:17" x14ac:dyDescent="0.55000000000000004">
      <c r="A16">
        <f t="shared" si="0"/>
        <v>15</v>
      </c>
      <c r="B16" t="s">
        <v>22</v>
      </c>
      <c r="C16">
        <v>77</v>
      </c>
      <c r="D16">
        <v>98</v>
      </c>
      <c r="E16">
        <v>49</v>
      </c>
      <c r="F16">
        <v>184</v>
      </c>
      <c r="G16">
        <v>368</v>
      </c>
      <c r="H16">
        <v>12</v>
      </c>
      <c r="I16">
        <v>12</v>
      </c>
      <c r="J16">
        <v>2</v>
      </c>
      <c r="K16">
        <v>636</v>
      </c>
      <c r="L16">
        <v>2</v>
      </c>
      <c r="M16">
        <v>2.5819999999999999</v>
      </c>
      <c r="N16">
        <v>1075</v>
      </c>
      <c r="O16">
        <v>69</v>
      </c>
      <c r="P16">
        <v>0</v>
      </c>
      <c r="Q16">
        <v>1.2909999999999999</v>
      </c>
    </row>
    <row r="17" spans="1:17" x14ac:dyDescent="0.55000000000000004">
      <c r="A17">
        <f t="shared" si="0"/>
        <v>16</v>
      </c>
      <c r="B17" t="s">
        <v>23</v>
      </c>
      <c r="C17">
        <v>77</v>
      </c>
      <c r="D17">
        <v>98</v>
      </c>
      <c r="E17">
        <v>49</v>
      </c>
      <c r="F17">
        <v>184</v>
      </c>
      <c r="G17">
        <v>368</v>
      </c>
      <c r="H17">
        <v>12</v>
      </c>
      <c r="I17">
        <v>12</v>
      </c>
      <c r="J17">
        <v>2</v>
      </c>
      <c r="K17">
        <v>718</v>
      </c>
      <c r="L17">
        <v>2</v>
      </c>
      <c r="M17">
        <v>1.2889999999999999</v>
      </c>
      <c r="N17">
        <v>1120</v>
      </c>
      <c r="O17">
        <v>56</v>
      </c>
      <c r="P17">
        <v>0</v>
      </c>
      <c r="Q17">
        <v>0.64400000000000002</v>
      </c>
    </row>
    <row r="18" spans="1:17" x14ac:dyDescent="0.55000000000000004">
      <c r="A18">
        <f t="shared" si="0"/>
        <v>17</v>
      </c>
      <c r="B18" t="s">
        <v>24</v>
      </c>
      <c r="C18">
        <v>77</v>
      </c>
      <c r="D18">
        <v>98</v>
      </c>
      <c r="E18">
        <v>49</v>
      </c>
      <c r="F18">
        <v>184</v>
      </c>
      <c r="G18">
        <v>368</v>
      </c>
      <c r="H18">
        <v>12</v>
      </c>
      <c r="I18">
        <v>12</v>
      </c>
      <c r="J18">
        <v>6</v>
      </c>
      <c r="K18">
        <v>718</v>
      </c>
      <c r="L18">
        <v>6</v>
      </c>
      <c r="M18">
        <v>70.064999999999998</v>
      </c>
      <c r="N18">
        <v>2240</v>
      </c>
      <c r="O18">
        <v>212</v>
      </c>
      <c r="P18">
        <v>0</v>
      </c>
      <c r="Q18">
        <v>11.678000000000001</v>
      </c>
    </row>
    <row r="19" spans="1:17" x14ac:dyDescent="0.55000000000000004">
      <c r="A19">
        <f t="shared" si="0"/>
        <v>18</v>
      </c>
      <c r="B19" t="s">
        <v>25</v>
      </c>
      <c r="C19">
        <v>77</v>
      </c>
      <c r="D19">
        <v>98</v>
      </c>
      <c r="E19">
        <v>49</v>
      </c>
      <c r="F19">
        <v>184</v>
      </c>
      <c r="G19">
        <v>368</v>
      </c>
      <c r="H19">
        <v>12</v>
      </c>
      <c r="I19">
        <v>12</v>
      </c>
      <c r="J19">
        <v>5</v>
      </c>
      <c r="K19">
        <v>718</v>
      </c>
      <c r="L19">
        <v>5</v>
      </c>
      <c r="M19">
        <v>14.039</v>
      </c>
      <c r="N19">
        <v>1682</v>
      </c>
      <c r="O19">
        <v>134.30000000000001</v>
      </c>
      <c r="P19">
        <v>0</v>
      </c>
      <c r="Q19">
        <v>2.8079999999999998</v>
      </c>
    </row>
    <row r="20" spans="1:17" x14ac:dyDescent="0.55000000000000004">
      <c r="A20">
        <f t="shared" si="0"/>
        <v>19</v>
      </c>
      <c r="B20" t="s">
        <v>26</v>
      </c>
      <c r="C20">
        <v>77</v>
      </c>
      <c r="D20">
        <v>98</v>
      </c>
      <c r="E20">
        <v>49</v>
      </c>
      <c r="F20">
        <v>184</v>
      </c>
      <c r="G20">
        <v>368</v>
      </c>
      <c r="H20">
        <v>12</v>
      </c>
      <c r="I20">
        <v>12</v>
      </c>
      <c r="J20">
        <v>1</v>
      </c>
      <c r="K20">
        <v>718</v>
      </c>
      <c r="L20">
        <v>1</v>
      </c>
      <c r="M20">
        <v>1.9219999999999999</v>
      </c>
      <c r="N20">
        <v>1119</v>
      </c>
      <c r="O20">
        <v>55.8</v>
      </c>
      <c r="P20">
        <v>0</v>
      </c>
      <c r="Q20">
        <v>1.9219999999999999</v>
      </c>
    </row>
    <row r="21" spans="1:17" x14ac:dyDescent="0.55000000000000004">
      <c r="A21">
        <f t="shared" si="0"/>
        <v>20</v>
      </c>
      <c r="B21" t="s">
        <v>28</v>
      </c>
      <c r="C21">
        <v>77</v>
      </c>
      <c r="D21">
        <v>98</v>
      </c>
      <c r="E21">
        <v>49</v>
      </c>
      <c r="F21">
        <v>184</v>
      </c>
      <c r="G21">
        <v>368</v>
      </c>
      <c r="H21">
        <v>12</v>
      </c>
      <c r="I21">
        <v>12</v>
      </c>
      <c r="J21">
        <v>5</v>
      </c>
      <c r="K21">
        <v>718</v>
      </c>
      <c r="L21">
        <v>5</v>
      </c>
      <c r="M21">
        <v>7.4710000000000001</v>
      </c>
      <c r="N21">
        <v>1672</v>
      </c>
      <c r="O21">
        <v>132.9</v>
      </c>
      <c r="P21">
        <v>0</v>
      </c>
      <c r="Q21">
        <v>1.494</v>
      </c>
    </row>
    <row r="22" spans="1:17" x14ac:dyDescent="0.55000000000000004">
      <c r="A22">
        <f t="shared" si="0"/>
        <v>21</v>
      </c>
      <c r="B22" t="s">
        <v>36</v>
      </c>
      <c r="C22">
        <v>77</v>
      </c>
      <c r="D22">
        <v>98</v>
      </c>
      <c r="E22">
        <v>49</v>
      </c>
      <c r="F22">
        <v>184</v>
      </c>
      <c r="G22">
        <v>368</v>
      </c>
      <c r="H22">
        <v>12</v>
      </c>
      <c r="I22">
        <v>12</v>
      </c>
      <c r="J22">
        <v>4</v>
      </c>
      <c r="K22">
        <v>728</v>
      </c>
      <c r="L22">
        <v>4</v>
      </c>
      <c r="M22">
        <v>26.64</v>
      </c>
      <c r="N22">
        <v>1704</v>
      </c>
      <c r="O22">
        <v>134.1</v>
      </c>
      <c r="P22">
        <v>0</v>
      </c>
      <c r="Q22">
        <v>6.66</v>
      </c>
    </row>
    <row r="23" spans="1:17" x14ac:dyDescent="0.55000000000000004">
      <c r="A23">
        <f t="shared" si="0"/>
        <v>22</v>
      </c>
      <c r="B23" t="s">
        <v>37</v>
      </c>
      <c r="C23">
        <v>77</v>
      </c>
      <c r="D23">
        <v>98</v>
      </c>
      <c r="E23">
        <v>49</v>
      </c>
      <c r="F23">
        <v>184</v>
      </c>
      <c r="G23">
        <v>368</v>
      </c>
      <c r="H23">
        <v>12</v>
      </c>
      <c r="I23">
        <v>12</v>
      </c>
      <c r="J23">
        <v>5</v>
      </c>
      <c r="K23">
        <v>809</v>
      </c>
      <c r="L23">
        <v>5</v>
      </c>
      <c r="M23">
        <v>15.448</v>
      </c>
      <c r="N23">
        <v>1881</v>
      </c>
      <c r="O23">
        <v>132.5</v>
      </c>
      <c r="P23">
        <v>0</v>
      </c>
      <c r="Q23">
        <v>3.09</v>
      </c>
    </row>
    <row r="24" spans="1:17" x14ac:dyDescent="0.55000000000000004">
      <c r="A24">
        <f t="shared" si="0"/>
        <v>23</v>
      </c>
      <c r="B24" t="s">
        <v>38</v>
      </c>
      <c r="C24">
        <v>77</v>
      </c>
      <c r="D24">
        <v>98</v>
      </c>
      <c r="E24">
        <v>49</v>
      </c>
      <c r="F24">
        <v>184</v>
      </c>
      <c r="G24">
        <v>368</v>
      </c>
      <c r="H24">
        <v>12</v>
      </c>
      <c r="I24">
        <v>12</v>
      </c>
      <c r="J24">
        <v>4</v>
      </c>
      <c r="K24">
        <v>699</v>
      </c>
      <c r="L24">
        <v>4</v>
      </c>
      <c r="M24">
        <v>8.5239999999999991</v>
      </c>
      <c r="N24">
        <v>1206</v>
      </c>
      <c r="O24">
        <v>72.5</v>
      </c>
      <c r="P24">
        <v>0</v>
      </c>
      <c r="Q24">
        <v>2.1309999999999998</v>
      </c>
    </row>
    <row r="25" spans="1:17" x14ac:dyDescent="0.55000000000000004">
      <c r="A25">
        <f t="shared" si="0"/>
        <v>24</v>
      </c>
      <c r="B25" t="s">
        <v>39</v>
      </c>
      <c r="C25">
        <v>77</v>
      </c>
      <c r="D25">
        <v>98</v>
      </c>
      <c r="E25">
        <v>49</v>
      </c>
      <c r="F25">
        <v>184</v>
      </c>
      <c r="G25">
        <v>368</v>
      </c>
      <c r="H25">
        <v>12</v>
      </c>
      <c r="I25">
        <v>12</v>
      </c>
      <c r="J25">
        <v>2</v>
      </c>
      <c r="K25">
        <v>758</v>
      </c>
      <c r="L25">
        <v>2</v>
      </c>
      <c r="M25">
        <v>2.758</v>
      </c>
      <c r="N25">
        <v>1226</v>
      </c>
      <c r="O25">
        <v>61.7</v>
      </c>
      <c r="P25">
        <v>0</v>
      </c>
      <c r="Q25">
        <v>1.379</v>
      </c>
    </row>
    <row r="26" spans="1:17" x14ac:dyDescent="0.55000000000000004">
      <c r="A26">
        <f t="shared" si="0"/>
        <v>25</v>
      </c>
      <c r="B26" t="s">
        <v>40</v>
      </c>
      <c r="C26">
        <v>77</v>
      </c>
      <c r="D26">
        <v>98</v>
      </c>
      <c r="E26">
        <v>49</v>
      </c>
      <c r="F26">
        <v>184</v>
      </c>
      <c r="G26">
        <v>368</v>
      </c>
      <c r="H26">
        <v>12</v>
      </c>
      <c r="I26">
        <v>12</v>
      </c>
      <c r="J26">
        <v>6</v>
      </c>
      <c r="K26">
        <v>699</v>
      </c>
      <c r="L26">
        <v>6</v>
      </c>
      <c r="M26">
        <v>26.053999999999998</v>
      </c>
      <c r="N26">
        <v>1742</v>
      </c>
      <c r="O26">
        <v>149.19999999999999</v>
      </c>
      <c r="P26">
        <v>0</v>
      </c>
      <c r="Q26">
        <v>4.3419999999999996</v>
      </c>
    </row>
    <row r="27" spans="1:17" x14ac:dyDescent="0.55000000000000004">
      <c r="A27">
        <f t="shared" si="0"/>
        <v>26</v>
      </c>
      <c r="B27" t="s">
        <v>41</v>
      </c>
      <c r="C27">
        <v>77</v>
      </c>
      <c r="D27">
        <v>98</v>
      </c>
      <c r="E27">
        <v>49</v>
      </c>
      <c r="F27">
        <v>184</v>
      </c>
      <c r="G27">
        <v>368</v>
      </c>
      <c r="H27">
        <v>12</v>
      </c>
      <c r="I27">
        <v>12</v>
      </c>
      <c r="J27">
        <v>2</v>
      </c>
      <c r="K27">
        <v>671</v>
      </c>
      <c r="L27">
        <v>2</v>
      </c>
      <c r="M27">
        <v>4.0119999999999996</v>
      </c>
      <c r="N27">
        <v>1162</v>
      </c>
      <c r="O27">
        <v>73.2</v>
      </c>
      <c r="P27">
        <v>0</v>
      </c>
      <c r="Q27">
        <v>2.0059999999999998</v>
      </c>
    </row>
    <row r="28" spans="1:17" x14ac:dyDescent="0.55000000000000004">
      <c r="A28">
        <f t="shared" si="0"/>
        <v>27</v>
      </c>
      <c r="B28" t="s">
        <v>42</v>
      </c>
      <c r="C28">
        <v>77</v>
      </c>
      <c r="D28">
        <v>98</v>
      </c>
      <c r="E28">
        <v>49</v>
      </c>
      <c r="F28">
        <v>184</v>
      </c>
      <c r="G28">
        <v>368</v>
      </c>
      <c r="H28">
        <v>12</v>
      </c>
      <c r="I28">
        <v>12</v>
      </c>
      <c r="J28">
        <v>3</v>
      </c>
      <c r="K28">
        <v>651</v>
      </c>
      <c r="L28">
        <v>3</v>
      </c>
      <c r="M28">
        <v>8.9510000000000005</v>
      </c>
      <c r="N28">
        <v>1152</v>
      </c>
      <c r="O28">
        <v>77</v>
      </c>
      <c r="P28">
        <v>0</v>
      </c>
      <c r="Q28">
        <v>2.984</v>
      </c>
    </row>
    <row r="29" spans="1:17" x14ac:dyDescent="0.55000000000000004">
      <c r="A29">
        <f t="shared" si="0"/>
        <v>28</v>
      </c>
      <c r="B29" t="s">
        <v>43</v>
      </c>
      <c r="C29">
        <v>77</v>
      </c>
      <c r="D29">
        <v>98</v>
      </c>
      <c r="E29">
        <v>49</v>
      </c>
      <c r="F29">
        <v>184</v>
      </c>
      <c r="G29">
        <v>368</v>
      </c>
      <c r="H29">
        <v>12</v>
      </c>
      <c r="I29">
        <v>12</v>
      </c>
      <c r="J29">
        <v>3</v>
      </c>
      <c r="K29">
        <v>664</v>
      </c>
      <c r="L29">
        <v>3</v>
      </c>
      <c r="M29">
        <v>3.2650000000000001</v>
      </c>
      <c r="N29">
        <v>1149</v>
      </c>
      <c r="O29">
        <v>73</v>
      </c>
      <c r="P29">
        <v>0</v>
      </c>
      <c r="Q29">
        <v>1.0880000000000001</v>
      </c>
    </row>
    <row r="30" spans="1:17" x14ac:dyDescent="0.55000000000000004">
      <c r="A30">
        <f t="shared" si="0"/>
        <v>29</v>
      </c>
      <c r="B30" t="s">
        <v>44</v>
      </c>
      <c r="C30">
        <v>77</v>
      </c>
      <c r="D30">
        <v>98</v>
      </c>
      <c r="E30">
        <v>49</v>
      </c>
      <c r="F30">
        <v>184</v>
      </c>
      <c r="G30">
        <v>368</v>
      </c>
      <c r="H30">
        <v>12</v>
      </c>
      <c r="I30">
        <v>12</v>
      </c>
      <c r="J30">
        <v>3</v>
      </c>
      <c r="K30">
        <v>705</v>
      </c>
      <c r="L30">
        <v>3</v>
      </c>
      <c r="M30">
        <v>5.9189999999999996</v>
      </c>
      <c r="N30">
        <v>1177</v>
      </c>
      <c r="O30">
        <v>67</v>
      </c>
      <c r="P30">
        <v>0</v>
      </c>
      <c r="Q30">
        <v>1.9730000000000001</v>
      </c>
    </row>
    <row r="31" spans="1:17" x14ac:dyDescent="0.55000000000000004">
      <c r="A31">
        <f t="shared" si="0"/>
        <v>30</v>
      </c>
      <c r="B31" t="s">
        <v>45</v>
      </c>
      <c r="C31">
        <v>77</v>
      </c>
      <c r="D31">
        <v>98</v>
      </c>
      <c r="E31">
        <v>49</v>
      </c>
      <c r="F31">
        <v>184</v>
      </c>
      <c r="G31">
        <v>368</v>
      </c>
      <c r="H31">
        <v>12</v>
      </c>
      <c r="I31">
        <v>12</v>
      </c>
      <c r="J31">
        <v>3</v>
      </c>
      <c r="K31">
        <v>705</v>
      </c>
      <c r="L31">
        <v>3</v>
      </c>
      <c r="M31">
        <v>1.8720000000000001</v>
      </c>
      <c r="N31">
        <v>1235</v>
      </c>
      <c r="O31">
        <v>75.2</v>
      </c>
      <c r="P31">
        <v>0</v>
      </c>
      <c r="Q31">
        <v>0.624</v>
      </c>
    </row>
    <row r="32" spans="1:17" x14ac:dyDescent="0.55000000000000004">
      <c r="A32">
        <f t="shared" si="0"/>
        <v>31</v>
      </c>
      <c r="B32" t="s">
        <v>46</v>
      </c>
      <c r="C32">
        <v>77</v>
      </c>
      <c r="D32">
        <v>98</v>
      </c>
      <c r="E32">
        <v>49</v>
      </c>
      <c r="F32">
        <v>184</v>
      </c>
      <c r="G32">
        <v>368</v>
      </c>
      <c r="H32">
        <v>12</v>
      </c>
      <c r="I32">
        <v>12</v>
      </c>
      <c r="J32">
        <v>5</v>
      </c>
      <c r="K32">
        <v>697</v>
      </c>
      <c r="L32">
        <v>5</v>
      </c>
      <c r="M32">
        <v>19.692</v>
      </c>
      <c r="N32">
        <v>1706</v>
      </c>
      <c r="O32">
        <v>144.80000000000001</v>
      </c>
      <c r="P32">
        <v>0</v>
      </c>
      <c r="Q32">
        <v>3.9380000000000002</v>
      </c>
    </row>
    <row r="33" spans="1:17" x14ac:dyDescent="0.55000000000000004">
      <c r="A33">
        <f t="shared" si="0"/>
        <v>32</v>
      </c>
      <c r="B33" t="s">
        <v>47</v>
      </c>
      <c r="C33">
        <v>77</v>
      </c>
      <c r="D33">
        <v>98</v>
      </c>
      <c r="E33">
        <v>49</v>
      </c>
      <c r="F33">
        <v>184</v>
      </c>
      <c r="G33">
        <v>368</v>
      </c>
      <c r="H33">
        <v>12</v>
      </c>
      <c r="I33">
        <v>12</v>
      </c>
      <c r="J33">
        <v>2</v>
      </c>
      <c r="K33">
        <v>775</v>
      </c>
      <c r="L33">
        <v>2</v>
      </c>
      <c r="M33">
        <v>2.2999999999999998</v>
      </c>
      <c r="N33">
        <v>1673</v>
      </c>
      <c r="O33">
        <v>115.9</v>
      </c>
      <c r="P33">
        <v>0</v>
      </c>
      <c r="Q33">
        <v>1.1499999999999999</v>
      </c>
    </row>
    <row r="34" spans="1:17" x14ac:dyDescent="0.55000000000000004">
      <c r="A34">
        <f t="shared" ref="A34:A65" si="1">VALUE(MID(B34, FIND(".", B34) + 1, LEN(B34)))</f>
        <v>33</v>
      </c>
      <c r="B34" t="s">
        <v>48</v>
      </c>
      <c r="C34">
        <v>77</v>
      </c>
      <c r="D34">
        <v>98</v>
      </c>
      <c r="E34">
        <v>49</v>
      </c>
      <c r="F34">
        <v>184</v>
      </c>
      <c r="G34">
        <v>368</v>
      </c>
      <c r="H34">
        <v>12</v>
      </c>
      <c r="I34">
        <v>12</v>
      </c>
      <c r="J34">
        <v>5</v>
      </c>
      <c r="K34">
        <v>625</v>
      </c>
      <c r="L34">
        <v>5</v>
      </c>
      <c r="M34">
        <v>2.1989999999999998</v>
      </c>
      <c r="N34">
        <v>1180</v>
      </c>
      <c r="O34">
        <v>88.8</v>
      </c>
      <c r="P34">
        <v>0</v>
      </c>
      <c r="Q34">
        <v>0.44</v>
      </c>
    </row>
    <row r="35" spans="1:17" x14ac:dyDescent="0.55000000000000004">
      <c r="A35">
        <f t="shared" si="1"/>
        <v>34</v>
      </c>
      <c r="B35" t="s">
        <v>49</v>
      </c>
      <c r="C35">
        <v>77</v>
      </c>
      <c r="D35">
        <v>98</v>
      </c>
      <c r="E35">
        <v>49</v>
      </c>
      <c r="F35">
        <v>184</v>
      </c>
      <c r="G35">
        <v>368</v>
      </c>
      <c r="H35">
        <v>12</v>
      </c>
      <c r="I35">
        <v>12</v>
      </c>
      <c r="J35">
        <v>3</v>
      </c>
      <c r="K35">
        <v>649</v>
      </c>
      <c r="L35">
        <v>3</v>
      </c>
      <c r="M35">
        <v>7.194</v>
      </c>
      <c r="N35">
        <v>1194</v>
      </c>
      <c r="O35">
        <v>84</v>
      </c>
      <c r="P35">
        <v>0</v>
      </c>
      <c r="Q35">
        <v>2.3980000000000001</v>
      </c>
    </row>
    <row r="36" spans="1:17" x14ac:dyDescent="0.55000000000000004">
      <c r="A36">
        <f t="shared" si="1"/>
        <v>35</v>
      </c>
      <c r="B36" t="s">
        <v>50</v>
      </c>
      <c r="C36">
        <v>77</v>
      </c>
      <c r="D36">
        <v>98</v>
      </c>
      <c r="E36">
        <v>49</v>
      </c>
      <c r="F36">
        <v>184</v>
      </c>
      <c r="G36">
        <v>368</v>
      </c>
      <c r="H36">
        <v>12</v>
      </c>
      <c r="I36">
        <v>12</v>
      </c>
      <c r="J36">
        <v>3</v>
      </c>
      <c r="K36">
        <v>631</v>
      </c>
      <c r="L36">
        <v>3</v>
      </c>
      <c r="M36">
        <v>1.3779999999999999</v>
      </c>
      <c r="N36">
        <v>1125</v>
      </c>
      <c r="O36">
        <v>78.3</v>
      </c>
      <c r="P36">
        <v>0</v>
      </c>
      <c r="Q36">
        <v>0.45900000000000002</v>
      </c>
    </row>
    <row r="37" spans="1:17" x14ac:dyDescent="0.55000000000000004">
      <c r="A37">
        <f t="shared" si="1"/>
        <v>36</v>
      </c>
      <c r="B37" t="s">
        <v>51</v>
      </c>
      <c r="C37">
        <v>77</v>
      </c>
      <c r="D37">
        <v>98</v>
      </c>
      <c r="E37">
        <v>49</v>
      </c>
      <c r="F37">
        <v>184</v>
      </c>
      <c r="G37">
        <v>368</v>
      </c>
      <c r="H37">
        <v>12</v>
      </c>
      <c r="I37">
        <v>12</v>
      </c>
      <c r="J37">
        <v>5</v>
      </c>
      <c r="K37">
        <v>624</v>
      </c>
      <c r="L37">
        <v>5</v>
      </c>
      <c r="M37">
        <v>6.3550000000000004</v>
      </c>
      <c r="N37">
        <v>1176</v>
      </c>
      <c r="O37">
        <v>88.5</v>
      </c>
      <c r="P37">
        <v>0</v>
      </c>
      <c r="Q37">
        <v>1.2709999999999999</v>
      </c>
    </row>
    <row r="38" spans="1:17" x14ac:dyDescent="0.55000000000000004">
      <c r="A38">
        <f t="shared" si="1"/>
        <v>37</v>
      </c>
      <c r="B38" t="s">
        <v>52</v>
      </c>
      <c r="C38">
        <v>77</v>
      </c>
      <c r="D38">
        <v>98</v>
      </c>
      <c r="E38">
        <v>49</v>
      </c>
      <c r="F38">
        <v>184</v>
      </c>
      <c r="G38">
        <v>368</v>
      </c>
      <c r="H38">
        <v>12</v>
      </c>
      <c r="I38">
        <v>12</v>
      </c>
      <c r="J38">
        <v>6</v>
      </c>
      <c r="K38">
        <v>649</v>
      </c>
      <c r="L38">
        <v>6</v>
      </c>
      <c r="M38">
        <v>24.076000000000001</v>
      </c>
      <c r="N38">
        <v>1704</v>
      </c>
      <c r="O38">
        <v>162.6</v>
      </c>
      <c r="P38">
        <v>0</v>
      </c>
      <c r="Q38">
        <v>4.0129999999999999</v>
      </c>
    </row>
    <row r="39" spans="1:17" x14ac:dyDescent="0.55000000000000004">
      <c r="A39">
        <f t="shared" si="1"/>
        <v>38</v>
      </c>
      <c r="B39" t="s">
        <v>53</v>
      </c>
      <c r="C39">
        <v>77</v>
      </c>
      <c r="D39">
        <v>98</v>
      </c>
      <c r="E39">
        <v>49</v>
      </c>
      <c r="F39">
        <v>184</v>
      </c>
      <c r="G39">
        <v>368</v>
      </c>
      <c r="H39">
        <v>12</v>
      </c>
      <c r="I39">
        <v>12</v>
      </c>
      <c r="J39">
        <v>6</v>
      </c>
      <c r="K39">
        <v>1088</v>
      </c>
      <c r="L39">
        <v>6</v>
      </c>
      <c r="M39">
        <v>124.102</v>
      </c>
      <c r="N39">
        <v>2682</v>
      </c>
      <c r="O39">
        <v>146.5</v>
      </c>
      <c r="P39">
        <v>0</v>
      </c>
      <c r="Q39">
        <v>20.684000000000001</v>
      </c>
    </row>
    <row r="40" spans="1:17" x14ac:dyDescent="0.55000000000000004">
      <c r="A40">
        <f t="shared" si="1"/>
        <v>39</v>
      </c>
      <c r="B40" t="s">
        <v>54</v>
      </c>
      <c r="C40">
        <v>77</v>
      </c>
      <c r="D40">
        <v>98</v>
      </c>
      <c r="E40">
        <v>49</v>
      </c>
      <c r="F40">
        <v>184</v>
      </c>
      <c r="G40">
        <v>368</v>
      </c>
      <c r="H40">
        <v>12</v>
      </c>
      <c r="I40">
        <v>12</v>
      </c>
      <c r="J40">
        <v>2</v>
      </c>
      <c r="K40">
        <v>720</v>
      </c>
      <c r="L40">
        <v>2</v>
      </c>
      <c r="M40">
        <v>13.188000000000001</v>
      </c>
      <c r="N40">
        <v>1185</v>
      </c>
      <c r="O40">
        <v>64.599999999999994</v>
      </c>
      <c r="P40">
        <v>0</v>
      </c>
      <c r="Q40">
        <v>6.5940000000000003</v>
      </c>
    </row>
    <row r="41" spans="1:17" x14ac:dyDescent="0.55000000000000004">
      <c r="A41">
        <f t="shared" si="1"/>
        <v>40</v>
      </c>
      <c r="B41" t="s">
        <v>55</v>
      </c>
      <c r="C41">
        <v>77</v>
      </c>
      <c r="D41">
        <v>98</v>
      </c>
      <c r="E41">
        <v>49</v>
      </c>
      <c r="F41">
        <v>184</v>
      </c>
      <c r="G41">
        <v>368</v>
      </c>
      <c r="H41">
        <v>12</v>
      </c>
      <c r="I41">
        <v>12</v>
      </c>
      <c r="J41">
        <v>2</v>
      </c>
      <c r="K41">
        <v>849</v>
      </c>
      <c r="L41">
        <v>2</v>
      </c>
      <c r="M41">
        <v>10.050000000000001</v>
      </c>
      <c r="N41">
        <v>1172</v>
      </c>
      <c r="O41">
        <v>38</v>
      </c>
      <c r="P41">
        <v>0</v>
      </c>
      <c r="Q41">
        <v>5.0250000000000004</v>
      </c>
    </row>
    <row r="42" spans="1:17" x14ac:dyDescent="0.55000000000000004">
      <c r="A42">
        <f t="shared" si="1"/>
        <v>41</v>
      </c>
      <c r="B42" t="s">
        <v>56</v>
      </c>
      <c r="C42">
        <v>77</v>
      </c>
      <c r="D42">
        <v>98</v>
      </c>
      <c r="E42">
        <v>49</v>
      </c>
      <c r="F42">
        <v>184</v>
      </c>
      <c r="G42">
        <v>368</v>
      </c>
      <c r="H42">
        <v>12</v>
      </c>
      <c r="I42">
        <v>12</v>
      </c>
      <c r="J42">
        <v>6</v>
      </c>
      <c r="K42">
        <v>1036</v>
      </c>
      <c r="L42">
        <v>6</v>
      </c>
      <c r="M42">
        <v>61.292999999999999</v>
      </c>
      <c r="N42">
        <v>2170</v>
      </c>
      <c r="O42">
        <v>109.5</v>
      </c>
      <c r="P42">
        <v>0</v>
      </c>
      <c r="Q42">
        <v>10.215999999999999</v>
      </c>
    </row>
    <row r="43" spans="1:17" x14ac:dyDescent="0.55000000000000004">
      <c r="A43">
        <f t="shared" si="1"/>
        <v>42</v>
      </c>
      <c r="B43" t="s">
        <v>57</v>
      </c>
      <c r="C43">
        <v>77</v>
      </c>
      <c r="D43">
        <v>98</v>
      </c>
      <c r="E43">
        <v>49</v>
      </c>
      <c r="F43">
        <v>184</v>
      </c>
      <c r="G43">
        <v>368</v>
      </c>
      <c r="H43">
        <v>12</v>
      </c>
      <c r="I43">
        <v>12</v>
      </c>
      <c r="J43">
        <v>6</v>
      </c>
      <c r="K43">
        <v>1071</v>
      </c>
      <c r="L43">
        <v>6</v>
      </c>
      <c r="M43">
        <v>31.013000000000002</v>
      </c>
      <c r="N43">
        <v>2199</v>
      </c>
      <c r="O43">
        <v>105.3</v>
      </c>
      <c r="P43">
        <v>0</v>
      </c>
      <c r="Q43">
        <v>5.1689999999999996</v>
      </c>
    </row>
    <row r="44" spans="1:17" x14ac:dyDescent="0.55000000000000004">
      <c r="A44">
        <f t="shared" si="1"/>
        <v>43</v>
      </c>
      <c r="B44" t="s">
        <v>58</v>
      </c>
      <c r="C44">
        <v>77</v>
      </c>
      <c r="D44">
        <v>98</v>
      </c>
      <c r="E44">
        <v>49</v>
      </c>
      <c r="F44">
        <v>184</v>
      </c>
      <c r="G44">
        <v>368</v>
      </c>
      <c r="H44">
        <v>12</v>
      </c>
      <c r="I44">
        <v>12</v>
      </c>
      <c r="J44">
        <v>5</v>
      </c>
      <c r="K44">
        <v>665</v>
      </c>
      <c r="L44">
        <v>5</v>
      </c>
      <c r="M44">
        <v>10.035</v>
      </c>
      <c r="N44">
        <v>1659</v>
      </c>
      <c r="O44">
        <v>149.5</v>
      </c>
      <c r="P44">
        <v>0</v>
      </c>
      <c r="Q44">
        <v>2.0070000000000001</v>
      </c>
    </row>
    <row r="45" spans="1:17" x14ac:dyDescent="0.55000000000000004">
      <c r="A45">
        <f t="shared" si="1"/>
        <v>44</v>
      </c>
      <c r="B45" t="s">
        <v>59</v>
      </c>
      <c r="C45">
        <v>77</v>
      </c>
      <c r="D45">
        <v>98</v>
      </c>
      <c r="E45">
        <v>49</v>
      </c>
      <c r="F45">
        <v>184</v>
      </c>
      <c r="G45">
        <v>368</v>
      </c>
      <c r="H45">
        <v>12</v>
      </c>
      <c r="I45">
        <v>12</v>
      </c>
      <c r="J45">
        <v>2</v>
      </c>
      <c r="K45">
        <v>654</v>
      </c>
      <c r="L45">
        <v>2</v>
      </c>
      <c r="M45">
        <v>2.3109999999999999</v>
      </c>
      <c r="N45">
        <v>1138</v>
      </c>
      <c r="O45">
        <v>74</v>
      </c>
      <c r="P45">
        <v>0</v>
      </c>
      <c r="Q45">
        <v>1.155</v>
      </c>
    </row>
    <row r="46" spans="1:17" x14ac:dyDescent="0.55000000000000004">
      <c r="A46">
        <f t="shared" si="1"/>
        <v>45</v>
      </c>
      <c r="B46" t="s">
        <v>60</v>
      </c>
      <c r="C46">
        <v>77</v>
      </c>
      <c r="D46">
        <v>98</v>
      </c>
      <c r="E46">
        <v>49</v>
      </c>
      <c r="F46">
        <v>184</v>
      </c>
      <c r="G46">
        <v>368</v>
      </c>
      <c r="H46">
        <v>12</v>
      </c>
      <c r="I46">
        <v>12</v>
      </c>
      <c r="J46">
        <v>3</v>
      </c>
      <c r="K46">
        <v>648</v>
      </c>
      <c r="L46">
        <v>3</v>
      </c>
      <c r="M46">
        <v>3.762</v>
      </c>
      <c r="N46">
        <v>1237</v>
      </c>
      <c r="O46">
        <v>90.9</v>
      </c>
      <c r="P46">
        <v>9</v>
      </c>
      <c r="Q46">
        <v>1.254</v>
      </c>
    </row>
    <row r="47" spans="1:17" x14ac:dyDescent="0.55000000000000004">
      <c r="A47">
        <f t="shared" si="1"/>
        <v>46</v>
      </c>
      <c r="B47" t="s">
        <v>61</v>
      </c>
      <c r="C47">
        <v>77</v>
      </c>
      <c r="D47">
        <v>98</v>
      </c>
      <c r="E47">
        <v>49</v>
      </c>
      <c r="F47">
        <v>184</v>
      </c>
      <c r="G47">
        <v>368</v>
      </c>
      <c r="H47">
        <v>12</v>
      </c>
      <c r="I47">
        <v>12</v>
      </c>
      <c r="J47">
        <v>6</v>
      </c>
      <c r="K47">
        <v>665</v>
      </c>
      <c r="L47">
        <v>6</v>
      </c>
      <c r="M47">
        <v>46.942</v>
      </c>
      <c r="N47">
        <v>2236</v>
      </c>
      <c r="O47">
        <v>236.2</v>
      </c>
      <c r="P47">
        <v>0</v>
      </c>
      <c r="Q47">
        <v>7.8239999999999998</v>
      </c>
    </row>
    <row r="48" spans="1:17" x14ac:dyDescent="0.55000000000000004">
      <c r="A48">
        <f t="shared" si="1"/>
        <v>47</v>
      </c>
      <c r="B48" t="s">
        <v>62</v>
      </c>
      <c r="C48">
        <v>77</v>
      </c>
      <c r="D48">
        <v>98</v>
      </c>
      <c r="E48">
        <v>49</v>
      </c>
      <c r="F48">
        <v>184</v>
      </c>
      <c r="G48">
        <v>368</v>
      </c>
      <c r="H48">
        <v>12</v>
      </c>
      <c r="I48">
        <v>12</v>
      </c>
      <c r="J48">
        <v>4</v>
      </c>
      <c r="K48">
        <v>641</v>
      </c>
      <c r="L48">
        <v>4</v>
      </c>
      <c r="M48">
        <v>21.742999999999999</v>
      </c>
      <c r="N48">
        <v>1482</v>
      </c>
      <c r="O48">
        <v>131.19999999999999</v>
      </c>
      <c r="P48">
        <v>0</v>
      </c>
      <c r="Q48">
        <v>5.4359999999999999</v>
      </c>
    </row>
    <row r="49" spans="1:17" x14ac:dyDescent="0.55000000000000004">
      <c r="A49">
        <f t="shared" si="1"/>
        <v>48</v>
      </c>
      <c r="B49" t="s">
        <v>63</v>
      </c>
      <c r="C49">
        <v>77</v>
      </c>
      <c r="D49">
        <v>98</v>
      </c>
      <c r="E49">
        <v>49</v>
      </c>
      <c r="F49">
        <v>184</v>
      </c>
      <c r="G49">
        <v>368</v>
      </c>
      <c r="H49">
        <v>12</v>
      </c>
      <c r="I49">
        <v>12</v>
      </c>
      <c r="J49">
        <v>6</v>
      </c>
      <c r="K49">
        <v>692</v>
      </c>
      <c r="L49">
        <v>6</v>
      </c>
      <c r="M49">
        <v>116.92</v>
      </c>
      <c r="N49">
        <v>2222</v>
      </c>
      <c r="O49">
        <v>221.1</v>
      </c>
      <c r="P49">
        <v>0</v>
      </c>
      <c r="Q49">
        <v>19.486999999999998</v>
      </c>
    </row>
    <row r="50" spans="1:17" x14ac:dyDescent="0.55000000000000004">
      <c r="A50">
        <f t="shared" si="1"/>
        <v>49</v>
      </c>
      <c r="B50" t="s">
        <v>64</v>
      </c>
      <c r="C50">
        <v>77</v>
      </c>
      <c r="D50">
        <v>98</v>
      </c>
      <c r="E50">
        <v>49</v>
      </c>
      <c r="F50">
        <v>184</v>
      </c>
      <c r="G50">
        <v>368</v>
      </c>
      <c r="H50">
        <v>12</v>
      </c>
      <c r="I50">
        <v>12</v>
      </c>
      <c r="J50">
        <v>5</v>
      </c>
      <c r="K50">
        <v>692</v>
      </c>
      <c r="L50">
        <v>5</v>
      </c>
      <c r="M50">
        <v>25.722999999999999</v>
      </c>
      <c r="N50">
        <v>1748</v>
      </c>
      <c r="O50">
        <v>152.6</v>
      </c>
      <c r="P50">
        <v>0</v>
      </c>
      <c r="Q50">
        <v>5.1449999999999996</v>
      </c>
    </row>
    <row r="51" spans="1:17" x14ac:dyDescent="0.55000000000000004">
      <c r="A51">
        <f t="shared" si="1"/>
        <v>50</v>
      </c>
      <c r="B51" t="s">
        <v>65</v>
      </c>
      <c r="C51">
        <v>77</v>
      </c>
      <c r="D51">
        <v>98</v>
      </c>
      <c r="E51">
        <v>49</v>
      </c>
      <c r="F51">
        <v>184</v>
      </c>
      <c r="G51">
        <v>368</v>
      </c>
      <c r="H51">
        <v>12</v>
      </c>
      <c r="I51">
        <v>12</v>
      </c>
      <c r="J51">
        <v>5</v>
      </c>
      <c r="K51">
        <v>692</v>
      </c>
      <c r="L51">
        <v>5</v>
      </c>
      <c r="M51">
        <v>3.3010000000000002</v>
      </c>
      <c r="N51">
        <v>1670</v>
      </c>
      <c r="O51">
        <v>141.30000000000001</v>
      </c>
      <c r="P51">
        <v>0</v>
      </c>
      <c r="Q51">
        <v>0.66</v>
      </c>
    </row>
    <row r="52" spans="1:17" x14ac:dyDescent="0.55000000000000004">
      <c r="A52">
        <f t="shared" si="1"/>
        <v>51</v>
      </c>
      <c r="B52" t="s">
        <v>66</v>
      </c>
      <c r="C52">
        <v>77</v>
      </c>
      <c r="D52">
        <v>98</v>
      </c>
      <c r="E52">
        <v>49</v>
      </c>
      <c r="F52">
        <v>184</v>
      </c>
      <c r="G52">
        <v>368</v>
      </c>
      <c r="H52">
        <v>12</v>
      </c>
      <c r="I52">
        <v>12</v>
      </c>
      <c r="J52">
        <v>5</v>
      </c>
      <c r="K52">
        <v>692</v>
      </c>
      <c r="L52">
        <v>5</v>
      </c>
      <c r="M52">
        <v>3.9950000000000001</v>
      </c>
      <c r="N52">
        <v>1664</v>
      </c>
      <c r="O52">
        <v>140.5</v>
      </c>
      <c r="P52">
        <v>0</v>
      </c>
      <c r="Q52">
        <v>0.79900000000000004</v>
      </c>
    </row>
    <row r="53" spans="1:17" x14ac:dyDescent="0.55000000000000004">
      <c r="A53">
        <f t="shared" si="1"/>
        <v>52</v>
      </c>
      <c r="B53" t="s">
        <v>67</v>
      </c>
      <c r="C53">
        <v>77</v>
      </c>
      <c r="D53">
        <v>98</v>
      </c>
      <c r="E53">
        <v>49</v>
      </c>
      <c r="F53">
        <v>184</v>
      </c>
      <c r="G53">
        <v>368</v>
      </c>
      <c r="H53">
        <v>12</v>
      </c>
      <c r="I53">
        <v>12</v>
      </c>
      <c r="J53">
        <v>2</v>
      </c>
      <c r="K53">
        <v>692</v>
      </c>
      <c r="L53">
        <v>2</v>
      </c>
      <c r="M53">
        <v>1.2130000000000001</v>
      </c>
      <c r="N53">
        <v>1150</v>
      </c>
      <c r="O53">
        <v>66.2</v>
      </c>
      <c r="P53">
        <v>0</v>
      </c>
      <c r="Q53">
        <v>0.60699999999999998</v>
      </c>
    </row>
    <row r="54" spans="1:17" x14ac:dyDescent="0.55000000000000004">
      <c r="A54">
        <f t="shared" si="1"/>
        <v>53</v>
      </c>
      <c r="B54" t="s">
        <v>68</v>
      </c>
      <c r="C54">
        <v>140</v>
      </c>
      <c r="D54">
        <v>190</v>
      </c>
      <c r="E54">
        <v>95</v>
      </c>
      <c r="F54">
        <v>206</v>
      </c>
      <c r="G54">
        <v>412</v>
      </c>
      <c r="H54">
        <v>9</v>
      </c>
      <c r="I54">
        <v>9</v>
      </c>
      <c r="J54">
        <v>4</v>
      </c>
      <c r="K54">
        <v>2418</v>
      </c>
      <c r="L54">
        <v>4</v>
      </c>
      <c r="M54">
        <v>257.15100000000001</v>
      </c>
      <c r="N54">
        <v>4633</v>
      </c>
      <c r="O54">
        <v>91.6</v>
      </c>
      <c r="P54">
        <v>0</v>
      </c>
      <c r="Q54">
        <v>64.287999999999997</v>
      </c>
    </row>
    <row r="55" spans="1:17" x14ac:dyDescent="0.55000000000000004">
      <c r="A55">
        <f t="shared" si="1"/>
        <v>54</v>
      </c>
      <c r="B55" t="s">
        <v>69</v>
      </c>
      <c r="C55">
        <v>140</v>
      </c>
      <c r="D55">
        <v>190</v>
      </c>
      <c r="E55">
        <v>95</v>
      </c>
      <c r="F55">
        <v>206</v>
      </c>
      <c r="G55">
        <v>412</v>
      </c>
      <c r="H55">
        <v>9</v>
      </c>
      <c r="I55">
        <v>9</v>
      </c>
      <c r="J55">
        <v>6</v>
      </c>
      <c r="K55">
        <v>2418</v>
      </c>
      <c r="L55">
        <v>6</v>
      </c>
      <c r="M55">
        <v>664.77</v>
      </c>
      <c r="N55">
        <v>6217</v>
      </c>
      <c r="O55">
        <v>157.1</v>
      </c>
      <c r="P55">
        <v>0</v>
      </c>
      <c r="Q55">
        <v>110.795</v>
      </c>
    </row>
    <row r="56" spans="1:17" x14ac:dyDescent="0.55000000000000004">
      <c r="A56">
        <f t="shared" si="1"/>
        <v>55</v>
      </c>
      <c r="B56" t="s">
        <v>88</v>
      </c>
      <c r="C56">
        <v>140</v>
      </c>
      <c r="D56">
        <v>190</v>
      </c>
      <c r="E56">
        <v>95</v>
      </c>
      <c r="F56">
        <v>206</v>
      </c>
      <c r="G56">
        <v>412</v>
      </c>
      <c r="H56">
        <v>9</v>
      </c>
      <c r="I56">
        <v>9</v>
      </c>
      <c r="J56">
        <v>5</v>
      </c>
      <c r="K56">
        <v>2418</v>
      </c>
      <c r="L56">
        <v>5</v>
      </c>
      <c r="M56">
        <v>315.53800000000001</v>
      </c>
      <c r="N56">
        <v>5428</v>
      </c>
      <c r="O56">
        <v>124.5</v>
      </c>
      <c r="P56">
        <v>0</v>
      </c>
      <c r="Q56">
        <v>63.107999999999997</v>
      </c>
    </row>
    <row r="57" spans="1:17" x14ac:dyDescent="0.55000000000000004">
      <c r="A57">
        <f t="shared" si="1"/>
        <v>56</v>
      </c>
      <c r="B57" t="s">
        <v>89</v>
      </c>
      <c r="C57">
        <v>140</v>
      </c>
      <c r="D57">
        <v>190</v>
      </c>
      <c r="E57">
        <v>95</v>
      </c>
      <c r="F57">
        <v>206</v>
      </c>
      <c r="G57">
        <v>412</v>
      </c>
      <c r="H57">
        <v>9</v>
      </c>
      <c r="I57">
        <v>9</v>
      </c>
      <c r="J57">
        <v>1</v>
      </c>
      <c r="K57">
        <v>2418</v>
      </c>
      <c r="L57">
        <v>1</v>
      </c>
      <c r="M57">
        <v>0.20499999999999999</v>
      </c>
      <c r="N57">
        <v>2443</v>
      </c>
      <c r="O57">
        <v>1</v>
      </c>
      <c r="P57">
        <v>0</v>
      </c>
      <c r="Q57">
        <v>0.20499999999999999</v>
      </c>
    </row>
    <row r="58" spans="1:17" x14ac:dyDescent="0.55000000000000004">
      <c r="A58">
        <f t="shared" si="1"/>
        <v>57</v>
      </c>
      <c r="B58" t="s">
        <v>90</v>
      </c>
      <c r="C58">
        <v>140</v>
      </c>
      <c r="D58">
        <v>190</v>
      </c>
      <c r="E58">
        <v>95</v>
      </c>
      <c r="F58">
        <v>206</v>
      </c>
      <c r="G58">
        <v>412</v>
      </c>
      <c r="H58">
        <v>9</v>
      </c>
      <c r="I58">
        <v>9</v>
      </c>
      <c r="J58">
        <v>3</v>
      </c>
      <c r="K58">
        <v>2418</v>
      </c>
      <c r="L58">
        <v>3</v>
      </c>
      <c r="M58">
        <v>274.31</v>
      </c>
      <c r="N58">
        <v>3694</v>
      </c>
      <c r="O58">
        <v>52.8</v>
      </c>
      <c r="P58">
        <v>0</v>
      </c>
      <c r="Q58">
        <v>91.436999999999998</v>
      </c>
    </row>
    <row r="59" spans="1:17" x14ac:dyDescent="0.55000000000000004">
      <c r="A59">
        <f t="shared" si="1"/>
        <v>58</v>
      </c>
      <c r="B59" t="s">
        <v>91</v>
      </c>
      <c r="C59">
        <v>140</v>
      </c>
      <c r="D59">
        <v>190</v>
      </c>
      <c r="E59">
        <v>95</v>
      </c>
      <c r="F59">
        <v>206</v>
      </c>
      <c r="G59">
        <v>412</v>
      </c>
      <c r="H59">
        <v>9</v>
      </c>
      <c r="I59">
        <v>9</v>
      </c>
      <c r="J59">
        <v>5</v>
      </c>
      <c r="K59">
        <v>2015</v>
      </c>
      <c r="L59">
        <v>5</v>
      </c>
      <c r="M59">
        <v>531.93399999999997</v>
      </c>
      <c r="N59">
        <v>5594</v>
      </c>
      <c r="O59">
        <v>177.6</v>
      </c>
      <c r="P59">
        <v>0</v>
      </c>
      <c r="Q59">
        <v>106.387</v>
      </c>
    </row>
    <row r="60" spans="1:17" x14ac:dyDescent="0.55000000000000004">
      <c r="A60">
        <f t="shared" si="1"/>
        <v>59</v>
      </c>
      <c r="B60" t="s">
        <v>92</v>
      </c>
      <c r="C60">
        <v>140</v>
      </c>
      <c r="D60">
        <v>190</v>
      </c>
      <c r="E60">
        <v>95</v>
      </c>
      <c r="F60">
        <v>206</v>
      </c>
      <c r="G60">
        <v>412</v>
      </c>
      <c r="H60">
        <v>9</v>
      </c>
      <c r="I60">
        <v>9</v>
      </c>
      <c r="J60">
        <v>5</v>
      </c>
      <c r="K60">
        <v>2405</v>
      </c>
      <c r="L60">
        <v>5</v>
      </c>
      <c r="M60">
        <v>710.15700000000004</v>
      </c>
      <c r="N60">
        <v>5383</v>
      </c>
      <c r="O60">
        <v>123.8</v>
      </c>
      <c r="P60">
        <v>0</v>
      </c>
      <c r="Q60">
        <v>142.03100000000001</v>
      </c>
    </row>
    <row r="61" spans="1:17" x14ac:dyDescent="0.55000000000000004">
      <c r="A61">
        <f t="shared" si="1"/>
        <v>60</v>
      </c>
      <c r="B61" t="s">
        <v>93</v>
      </c>
      <c r="C61">
        <v>140</v>
      </c>
      <c r="D61">
        <v>190</v>
      </c>
      <c r="E61">
        <v>95</v>
      </c>
      <c r="F61">
        <v>206</v>
      </c>
      <c r="G61">
        <v>412</v>
      </c>
      <c r="H61">
        <v>9</v>
      </c>
      <c r="I61">
        <v>9</v>
      </c>
      <c r="J61">
        <v>6</v>
      </c>
      <c r="K61">
        <v>1997</v>
      </c>
      <c r="L61">
        <v>6</v>
      </c>
      <c r="M61">
        <v>632.44100000000003</v>
      </c>
      <c r="N61">
        <v>7233</v>
      </c>
      <c r="O61">
        <v>262.2</v>
      </c>
      <c r="P61">
        <v>0</v>
      </c>
      <c r="Q61">
        <v>105.407</v>
      </c>
    </row>
    <row r="62" spans="1:17" x14ac:dyDescent="0.55000000000000004">
      <c r="A62">
        <f t="shared" si="1"/>
        <v>61</v>
      </c>
      <c r="B62" t="s">
        <v>70</v>
      </c>
      <c r="C62">
        <v>140</v>
      </c>
      <c r="D62">
        <v>190</v>
      </c>
      <c r="E62">
        <v>95</v>
      </c>
      <c r="F62">
        <v>206</v>
      </c>
      <c r="G62">
        <v>412</v>
      </c>
      <c r="H62">
        <v>9</v>
      </c>
      <c r="I62">
        <v>9</v>
      </c>
      <c r="J62">
        <v>3</v>
      </c>
      <c r="K62">
        <v>2015</v>
      </c>
      <c r="L62">
        <v>3</v>
      </c>
      <c r="M62">
        <v>148.333</v>
      </c>
      <c r="N62">
        <v>3180</v>
      </c>
      <c r="O62">
        <v>57.8</v>
      </c>
      <c r="P62">
        <v>0</v>
      </c>
      <c r="Q62">
        <v>49.444000000000003</v>
      </c>
    </row>
    <row r="63" spans="1:17" x14ac:dyDescent="0.55000000000000004">
      <c r="A63">
        <f t="shared" si="1"/>
        <v>62</v>
      </c>
      <c r="B63" t="s">
        <v>71</v>
      </c>
      <c r="C63">
        <v>140</v>
      </c>
      <c r="D63">
        <v>190</v>
      </c>
      <c r="E63">
        <v>95</v>
      </c>
      <c r="F63">
        <v>206</v>
      </c>
      <c r="G63">
        <v>412</v>
      </c>
      <c r="H63">
        <v>9</v>
      </c>
      <c r="I63">
        <v>9</v>
      </c>
      <c r="J63">
        <v>3</v>
      </c>
      <c r="K63">
        <v>2029</v>
      </c>
      <c r="L63">
        <v>3</v>
      </c>
      <c r="M63">
        <v>105.029</v>
      </c>
      <c r="N63">
        <v>3133</v>
      </c>
      <c r="O63">
        <v>54.4</v>
      </c>
      <c r="P63">
        <v>0</v>
      </c>
      <c r="Q63">
        <v>35.01</v>
      </c>
    </row>
    <row r="64" spans="1:17" x14ac:dyDescent="0.55000000000000004">
      <c r="A64">
        <f t="shared" si="1"/>
        <v>63</v>
      </c>
      <c r="B64" t="s">
        <v>72</v>
      </c>
      <c r="C64">
        <v>140</v>
      </c>
      <c r="D64">
        <v>190</v>
      </c>
      <c r="E64">
        <v>95</v>
      </c>
      <c r="F64">
        <v>206</v>
      </c>
      <c r="G64">
        <v>412</v>
      </c>
      <c r="H64">
        <v>9</v>
      </c>
      <c r="I64">
        <v>9</v>
      </c>
      <c r="J64">
        <v>2</v>
      </c>
      <c r="K64">
        <v>2422</v>
      </c>
      <c r="L64">
        <v>2</v>
      </c>
      <c r="M64">
        <v>8.0259999999999998</v>
      </c>
      <c r="N64">
        <v>3067</v>
      </c>
      <c r="O64">
        <v>26.6</v>
      </c>
      <c r="P64">
        <v>0</v>
      </c>
      <c r="Q64">
        <v>4.0129999999999999</v>
      </c>
    </row>
    <row r="65" spans="1:17" x14ac:dyDescent="0.55000000000000004">
      <c r="A65">
        <f t="shared" si="1"/>
        <v>64</v>
      </c>
      <c r="B65" t="s">
        <v>73</v>
      </c>
      <c r="C65">
        <v>140</v>
      </c>
      <c r="D65">
        <v>190</v>
      </c>
      <c r="E65">
        <v>95</v>
      </c>
      <c r="F65">
        <v>206</v>
      </c>
      <c r="G65">
        <v>412</v>
      </c>
      <c r="H65">
        <v>9</v>
      </c>
      <c r="I65">
        <v>9</v>
      </c>
      <c r="J65">
        <v>3</v>
      </c>
      <c r="K65">
        <v>2438</v>
      </c>
      <c r="L65">
        <v>3</v>
      </c>
      <c r="M65">
        <v>540.26900000000001</v>
      </c>
      <c r="N65">
        <v>3707</v>
      </c>
      <c r="O65">
        <v>52.1</v>
      </c>
      <c r="P65">
        <v>0</v>
      </c>
      <c r="Q65">
        <v>180.09</v>
      </c>
    </row>
    <row r="66" spans="1:17" x14ac:dyDescent="0.55000000000000004">
      <c r="A66">
        <f t="shared" ref="A66:A97" si="2">VALUE(MID(B66, FIND(".", B66) + 1, LEN(B66)))</f>
        <v>65</v>
      </c>
      <c r="B66" t="s">
        <v>94</v>
      </c>
      <c r="C66">
        <v>140</v>
      </c>
      <c r="D66">
        <v>190</v>
      </c>
      <c r="E66">
        <v>95</v>
      </c>
      <c r="F66">
        <v>206</v>
      </c>
      <c r="G66">
        <v>412</v>
      </c>
      <c r="H66">
        <v>9</v>
      </c>
      <c r="I66">
        <v>9</v>
      </c>
      <c r="J66">
        <v>6</v>
      </c>
      <c r="K66">
        <v>2404</v>
      </c>
      <c r="L66">
        <v>6</v>
      </c>
      <c r="M66">
        <v>1026.921</v>
      </c>
      <c r="N66">
        <v>7333</v>
      </c>
      <c r="O66">
        <v>205</v>
      </c>
      <c r="P66">
        <v>0</v>
      </c>
      <c r="Q66">
        <v>171.154</v>
      </c>
    </row>
    <row r="67" spans="1:17" x14ac:dyDescent="0.55000000000000004">
      <c r="A67">
        <f t="shared" si="2"/>
        <v>66</v>
      </c>
      <c r="B67" t="s">
        <v>95</v>
      </c>
      <c r="C67">
        <v>140</v>
      </c>
      <c r="D67">
        <v>190</v>
      </c>
      <c r="E67">
        <v>95</v>
      </c>
      <c r="F67">
        <v>206</v>
      </c>
      <c r="G67">
        <v>412</v>
      </c>
      <c r="H67">
        <v>9</v>
      </c>
      <c r="I67">
        <v>9</v>
      </c>
      <c r="J67">
        <v>4</v>
      </c>
      <c r="K67">
        <v>1986</v>
      </c>
      <c r="L67">
        <v>4</v>
      </c>
      <c r="M67">
        <v>115.648</v>
      </c>
      <c r="N67">
        <v>4163</v>
      </c>
      <c r="O67">
        <v>109.6</v>
      </c>
      <c r="P67">
        <v>0</v>
      </c>
      <c r="Q67">
        <v>28.911999999999999</v>
      </c>
    </row>
    <row r="68" spans="1:17" x14ac:dyDescent="0.55000000000000004">
      <c r="A68">
        <f t="shared" si="2"/>
        <v>67</v>
      </c>
      <c r="B68" t="s">
        <v>96</v>
      </c>
      <c r="C68">
        <v>140</v>
      </c>
      <c r="D68">
        <v>190</v>
      </c>
      <c r="E68">
        <v>95</v>
      </c>
      <c r="F68">
        <v>206</v>
      </c>
      <c r="G68">
        <v>412</v>
      </c>
      <c r="H68">
        <v>9</v>
      </c>
      <c r="I68">
        <v>9</v>
      </c>
      <c r="J68">
        <v>1</v>
      </c>
      <c r="K68">
        <v>2403</v>
      </c>
      <c r="L68">
        <v>1</v>
      </c>
      <c r="M68">
        <v>36.825000000000003</v>
      </c>
      <c r="N68">
        <v>3157</v>
      </c>
      <c r="O68">
        <v>31.4</v>
      </c>
      <c r="P68">
        <v>0</v>
      </c>
      <c r="Q68">
        <v>36.825000000000003</v>
      </c>
    </row>
    <row r="69" spans="1:17" x14ac:dyDescent="0.55000000000000004">
      <c r="A69">
        <f t="shared" si="2"/>
        <v>68</v>
      </c>
      <c r="B69" t="s">
        <v>97</v>
      </c>
      <c r="C69">
        <v>140</v>
      </c>
      <c r="D69">
        <v>190</v>
      </c>
      <c r="E69">
        <v>95</v>
      </c>
      <c r="F69">
        <v>206</v>
      </c>
      <c r="G69">
        <v>412</v>
      </c>
      <c r="H69">
        <v>9</v>
      </c>
      <c r="I69">
        <v>9</v>
      </c>
      <c r="J69">
        <v>1</v>
      </c>
      <c r="K69">
        <v>2479</v>
      </c>
      <c r="L69">
        <v>1</v>
      </c>
      <c r="M69">
        <v>28.030999999999999</v>
      </c>
      <c r="N69">
        <v>2926</v>
      </c>
      <c r="O69">
        <v>18</v>
      </c>
      <c r="P69">
        <v>0</v>
      </c>
      <c r="Q69">
        <v>28.030999999999999</v>
      </c>
    </row>
    <row r="70" spans="1:17" x14ac:dyDescent="0.55000000000000004">
      <c r="A70">
        <f t="shared" si="2"/>
        <v>69</v>
      </c>
      <c r="B70" t="s">
        <v>98</v>
      </c>
      <c r="C70">
        <v>140</v>
      </c>
      <c r="D70">
        <v>190</v>
      </c>
      <c r="E70">
        <v>95</v>
      </c>
      <c r="F70">
        <v>206</v>
      </c>
      <c r="G70">
        <v>412</v>
      </c>
      <c r="H70">
        <v>9</v>
      </c>
      <c r="I70">
        <v>9</v>
      </c>
      <c r="J70">
        <v>3</v>
      </c>
      <c r="K70">
        <v>2475</v>
      </c>
      <c r="L70">
        <v>3</v>
      </c>
      <c r="M70">
        <v>77.272000000000006</v>
      </c>
      <c r="N70">
        <v>3173</v>
      </c>
      <c r="O70">
        <v>28.2</v>
      </c>
      <c r="P70">
        <v>0</v>
      </c>
      <c r="Q70">
        <v>25.757000000000001</v>
      </c>
    </row>
    <row r="71" spans="1:17" x14ac:dyDescent="0.55000000000000004">
      <c r="A71">
        <f t="shared" si="2"/>
        <v>70</v>
      </c>
      <c r="B71" t="s">
        <v>99</v>
      </c>
      <c r="C71">
        <v>140</v>
      </c>
      <c r="D71">
        <v>190</v>
      </c>
      <c r="E71">
        <v>95</v>
      </c>
      <c r="F71">
        <v>206</v>
      </c>
      <c r="G71">
        <v>412</v>
      </c>
      <c r="H71">
        <v>9</v>
      </c>
      <c r="I71">
        <v>9</v>
      </c>
      <c r="J71">
        <v>4</v>
      </c>
      <c r="K71">
        <v>2467</v>
      </c>
      <c r="L71">
        <v>4</v>
      </c>
      <c r="M71">
        <v>289.46800000000002</v>
      </c>
      <c r="N71">
        <v>4153</v>
      </c>
      <c r="O71">
        <v>68.3</v>
      </c>
      <c r="P71">
        <v>0</v>
      </c>
      <c r="Q71">
        <v>72.367000000000004</v>
      </c>
    </row>
    <row r="72" spans="1:17" x14ac:dyDescent="0.55000000000000004">
      <c r="A72">
        <f t="shared" si="2"/>
        <v>71</v>
      </c>
      <c r="B72" t="s">
        <v>74</v>
      </c>
      <c r="C72">
        <v>140</v>
      </c>
      <c r="D72">
        <v>190</v>
      </c>
      <c r="E72">
        <v>95</v>
      </c>
      <c r="F72">
        <v>206</v>
      </c>
      <c r="G72">
        <v>412</v>
      </c>
      <c r="H72">
        <v>9</v>
      </c>
      <c r="I72">
        <v>9</v>
      </c>
      <c r="J72">
        <v>5</v>
      </c>
      <c r="K72">
        <v>2477</v>
      </c>
      <c r="L72">
        <v>4</v>
      </c>
      <c r="M72">
        <v>649.14099999999996</v>
      </c>
      <c r="N72">
        <v>4303</v>
      </c>
      <c r="O72">
        <v>73.7</v>
      </c>
      <c r="P72">
        <v>0</v>
      </c>
      <c r="Q72">
        <v>162.285</v>
      </c>
    </row>
    <row r="73" spans="1:17" x14ac:dyDescent="0.55000000000000004">
      <c r="A73">
        <f t="shared" si="2"/>
        <v>72</v>
      </c>
      <c r="B73" t="s">
        <v>100</v>
      </c>
      <c r="C73">
        <v>140</v>
      </c>
      <c r="D73">
        <v>190</v>
      </c>
      <c r="E73">
        <v>95</v>
      </c>
      <c r="F73">
        <v>206</v>
      </c>
      <c r="G73">
        <v>412</v>
      </c>
      <c r="H73">
        <v>9</v>
      </c>
      <c r="I73">
        <v>9</v>
      </c>
      <c r="J73">
        <v>5</v>
      </c>
      <c r="K73">
        <v>2474</v>
      </c>
      <c r="L73">
        <v>5</v>
      </c>
      <c r="M73">
        <v>731.99599999999998</v>
      </c>
      <c r="N73">
        <v>5605</v>
      </c>
      <c r="O73">
        <v>126.6</v>
      </c>
      <c r="P73">
        <v>0</v>
      </c>
      <c r="Q73">
        <v>146.399</v>
      </c>
    </row>
    <row r="74" spans="1:17" x14ac:dyDescent="0.55000000000000004">
      <c r="A74">
        <f t="shared" si="2"/>
        <v>73</v>
      </c>
      <c r="B74" t="s">
        <v>101</v>
      </c>
      <c r="C74">
        <v>140</v>
      </c>
      <c r="D74">
        <v>190</v>
      </c>
      <c r="E74">
        <v>95</v>
      </c>
      <c r="F74">
        <v>206</v>
      </c>
      <c r="G74">
        <v>412</v>
      </c>
      <c r="H74">
        <v>9</v>
      </c>
      <c r="I74">
        <v>9</v>
      </c>
      <c r="J74">
        <v>5</v>
      </c>
      <c r="K74">
        <v>2447</v>
      </c>
      <c r="L74">
        <v>5</v>
      </c>
      <c r="M74">
        <v>374.29700000000003</v>
      </c>
      <c r="N74">
        <v>5351</v>
      </c>
      <c r="O74">
        <v>118.7</v>
      </c>
      <c r="P74">
        <v>0</v>
      </c>
      <c r="Q74">
        <v>74.858999999999995</v>
      </c>
    </row>
    <row r="75" spans="1:17" x14ac:dyDescent="0.55000000000000004">
      <c r="A75">
        <f t="shared" si="2"/>
        <v>74</v>
      </c>
      <c r="B75" t="s">
        <v>102</v>
      </c>
      <c r="C75">
        <v>140</v>
      </c>
      <c r="D75">
        <v>190</v>
      </c>
      <c r="E75">
        <v>95</v>
      </c>
      <c r="F75">
        <v>206</v>
      </c>
      <c r="G75">
        <v>412</v>
      </c>
      <c r="H75">
        <v>9</v>
      </c>
      <c r="I75">
        <v>9</v>
      </c>
      <c r="J75">
        <v>5</v>
      </c>
      <c r="K75">
        <v>2412</v>
      </c>
      <c r="L75">
        <v>5</v>
      </c>
      <c r="M75">
        <v>528.67600000000004</v>
      </c>
      <c r="N75">
        <v>5511</v>
      </c>
      <c r="O75">
        <v>128.5</v>
      </c>
      <c r="P75">
        <v>0</v>
      </c>
      <c r="Q75">
        <v>105.735</v>
      </c>
    </row>
    <row r="76" spans="1:17" x14ac:dyDescent="0.55000000000000004">
      <c r="A76">
        <f t="shared" si="2"/>
        <v>75</v>
      </c>
      <c r="B76" t="s">
        <v>103</v>
      </c>
      <c r="C76">
        <v>140</v>
      </c>
      <c r="D76">
        <v>190</v>
      </c>
      <c r="E76">
        <v>95</v>
      </c>
      <c r="F76">
        <v>206</v>
      </c>
      <c r="G76">
        <v>412</v>
      </c>
      <c r="H76">
        <v>9</v>
      </c>
      <c r="I76">
        <v>9</v>
      </c>
      <c r="J76">
        <v>5</v>
      </c>
      <c r="K76">
        <v>2440</v>
      </c>
      <c r="L76">
        <v>5</v>
      </c>
      <c r="M76">
        <v>368.66399999999999</v>
      </c>
      <c r="N76">
        <v>5510</v>
      </c>
      <c r="O76">
        <v>125.8</v>
      </c>
      <c r="P76">
        <v>0</v>
      </c>
      <c r="Q76">
        <v>73.733000000000004</v>
      </c>
    </row>
    <row r="77" spans="1:17" x14ac:dyDescent="0.55000000000000004">
      <c r="A77">
        <f t="shared" si="2"/>
        <v>76</v>
      </c>
      <c r="B77" t="s">
        <v>104</v>
      </c>
      <c r="C77">
        <v>140</v>
      </c>
      <c r="D77">
        <v>190</v>
      </c>
      <c r="E77">
        <v>95</v>
      </c>
      <c r="F77">
        <v>206</v>
      </c>
      <c r="G77">
        <v>412</v>
      </c>
      <c r="H77">
        <v>9</v>
      </c>
      <c r="I77">
        <v>9</v>
      </c>
      <c r="J77">
        <v>2</v>
      </c>
      <c r="K77">
        <v>2440</v>
      </c>
      <c r="L77">
        <v>2</v>
      </c>
      <c r="M77">
        <v>5.508</v>
      </c>
      <c r="N77">
        <v>2983</v>
      </c>
      <c r="O77">
        <v>22.3</v>
      </c>
      <c r="P77">
        <v>0</v>
      </c>
      <c r="Q77">
        <v>2.754</v>
      </c>
    </row>
    <row r="78" spans="1:17" x14ac:dyDescent="0.55000000000000004">
      <c r="A78">
        <f t="shared" si="2"/>
        <v>77</v>
      </c>
      <c r="B78" t="s">
        <v>105</v>
      </c>
      <c r="C78">
        <v>140</v>
      </c>
      <c r="D78">
        <v>190</v>
      </c>
      <c r="E78">
        <v>95</v>
      </c>
      <c r="F78">
        <v>206</v>
      </c>
      <c r="G78">
        <v>412</v>
      </c>
      <c r="H78">
        <v>9</v>
      </c>
      <c r="I78">
        <v>9</v>
      </c>
      <c r="J78">
        <v>4</v>
      </c>
      <c r="K78">
        <v>2421</v>
      </c>
      <c r="L78">
        <v>4</v>
      </c>
      <c r="M78">
        <v>450.88</v>
      </c>
      <c r="N78">
        <v>4841</v>
      </c>
      <c r="O78">
        <v>100</v>
      </c>
      <c r="P78">
        <v>0</v>
      </c>
      <c r="Q78">
        <v>112.72</v>
      </c>
    </row>
    <row r="79" spans="1:17" x14ac:dyDescent="0.55000000000000004">
      <c r="A79">
        <f t="shared" si="2"/>
        <v>78</v>
      </c>
      <c r="B79" t="s">
        <v>106</v>
      </c>
      <c r="C79">
        <v>140</v>
      </c>
      <c r="D79">
        <v>190</v>
      </c>
      <c r="E79">
        <v>95</v>
      </c>
      <c r="F79">
        <v>206</v>
      </c>
      <c r="G79">
        <v>412</v>
      </c>
      <c r="H79">
        <v>9</v>
      </c>
      <c r="I79">
        <v>9</v>
      </c>
      <c r="J79">
        <v>4</v>
      </c>
      <c r="K79">
        <v>2499</v>
      </c>
      <c r="L79">
        <v>4</v>
      </c>
      <c r="M79">
        <v>170.738</v>
      </c>
      <c r="N79">
        <v>4240</v>
      </c>
      <c r="O79">
        <v>69.7</v>
      </c>
      <c r="P79">
        <v>0</v>
      </c>
      <c r="Q79">
        <v>42.683999999999997</v>
      </c>
    </row>
    <row r="80" spans="1:17" x14ac:dyDescent="0.55000000000000004">
      <c r="A80">
        <f t="shared" si="2"/>
        <v>79</v>
      </c>
      <c r="B80" t="s">
        <v>107</v>
      </c>
      <c r="C80">
        <v>140</v>
      </c>
      <c r="D80">
        <v>190</v>
      </c>
      <c r="E80">
        <v>95</v>
      </c>
      <c r="F80">
        <v>206</v>
      </c>
      <c r="G80">
        <v>412</v>
      </c>
      <c r="H80">
        <v>9</v>
      </c>
      <c r="I80">
        <v>9</v>
      </c>
      <c r="J80">
        <v>2</v>
      </c>
      <c r="K80">
        <v>2499</v>
      </c>
      <c r="L80">
        <v>2</v>
      </c>
      <c r="M80">
        <v>138.09800000000001</v>
      </c>
      <c r="N80">
        <v>3631</v>
      </c>
      <c r="O80">
        <v>45.3</v>
      </c>
      <c r="P80">
        <v>0</v>
      </c>
      <c r="Q80">
        <v>69.049000000000007</v>
      </c>
    </row>
    <row r="81" spans="1:17" x14ac:dyDescent="0.55000000000000004">
      <c r="A81">
        <f t="shared" si="2"/>
        <v>80</v>
      </c>
      <c r="B81" t="s">
        <v>108</v>
      </c>
      <c r="C81">
        <v>140</v>
      </c>
      <c r="D81">
        <v>190</v>
      </c>
      <c r="E81">
        <v>95</v>
      </c>
      <c r="F81">
        <v>206</v>
      </c>
      <c r="G81">
        <v>412</v>
      </c>
      <c r="H81">
        <v>9</v>
      </c>
      <c r="I81">
        <v>9</v>
      </c>
      <c r="J81">
        <v>2</v>
      </c>
      <c r="K81">
        <v>2499</v>
      </c>
      <c r="L81">
        <v>2</v>
      </c>
      <c r="M81">
        <v>14.407</v>
      </c>
      <c r="N81">
        <v>3062</v>
      </c>
      <c r="O81">
        <v>22.5</v>
      </c>
      <c r="P81">
        <v>0</v>
      </c>
      <c r="Q81">
        <v>7.2039999999999997</v>
      </c>
    </row>
    <row r="82" spans="1:17" x14ac:dyDescent="0.55000000000000004">
      <c r="A82">
        <f t="shared" si="2"/>
        <v>81</v>
      </c>
      <c r="B82" t="s">
        <v>76</v>
      </c>
      <c r="C82">
        <v>140</v>
      </c>
      <c r="D82">
        <v>190</v>
      </c>
      <c r="E82">
        <v>95</v>
      </c>
      <c r="F82">
        <v>206</v>
      </c>
      <c r="G82">
        <v>412</v>
      </c>
      <c r="H82">
        <v>9</v>
      </c>
      <c r="I82">
        <v>9</v>
      </c>
      <c r="J82">
        <v>2</v>
      </c>
      <c r="K82">
        <v>2499</v>
      </c>
      <c r="L82">
        <v>2</v>
      </c>
      <c r="M82">
        <v>304.08699999999999</v>
      </c>
      <c r="N82">
        <v>3694</v>
      </c>
      <c r="O82">
        <v>47.8</v>
      </c>
      <c r="P82">
        <v>0</v>
      </c>
      <c r="Q82">
        <v>152.04300000000001</v>
      </c>
    </row>
    <row r="83" spans="1:17" x14ac:dyDescent="0.55000000000000004">
      <c r="A83">
        <f t="shared" si="2"/>
        <v>82</v>
      </c>
      <c r="B83" t="s">
        <v>77</v>
      </c>
      <c r="C83">
        <v>140</v>
      </c>
      <c r="D83">
        <v>190</v>
      </c>
      <c r="E83">
        <v>95</v>
      </c>
      <c r="F83">
        <v>206</v>
      </c>
      <c r="G83">
        <v>412</v>
      </c>
      <c r="H83">
        <v>9</v>
      </c>
      <c r="I83">
        <v>9</v>
      </c>
      <c r="J83">
        <v>6</v>
      </c>
      <c r="K83">
        <v>2499</v>
      </c>
      <c r="L83">
        <v>6</v>
      </c>
      <c r="M83">
        <v>531.93600000000004</v>
      </c>
      <c r="N83">
        <v>7929</v>
      </c>
      <c r="O83">
        <v>217.3</v>
      </c>
      <c r="P83">
        <v>0</v>
      </c>
      <c r="Q83">
        <v>88.656000000000006</v>
      </c>
    </row>
    <row r="84" spans="1:17" x14ac:dyDescent="0.55000000000000004">
      <c r="A84">
        <f t="shared" si="2"/>
        <v>83</v>
      </c>
      <c r="B84" t="s">
        <v>78</v>
      </c>
      <c r="C84">
        <v>140</v>
      </c>
      <c r="D84">
        <v>190</v>
      </c>
      <c r="E84">
        <v>95</v>
      </c>
      <c r="F84">
        <v>206</v>
      </c>
      <c r="G84">
        <v>412</v>
      </c>
      <c r="H84">
        <v>9</v>
      </c>
      <c r="I84">
        <v>9</v>
      </c>
      <c r="J84">
        <v>2</v>
      </c>
      <c r="K84">
        <v>2495</v>
      </c>
      <c r="L84">
        <v>2</v>
      </c>
      <c r="M84">
        <v>100.815</v>
      </c>
      <c r="N84">
        <v>3036</v>
      </c>
      <c r="O84">
        <v>21.7</v>
      </c>
      <c r="P84">
        <v>0</v>
      </c>
      <c r="Q84">
        <v>50.406999999999996</v>
      </c>
    </row>
    <row r="85" spans="1:17" x14ac:dyDescent="0.55000000000000004">
      <c r="A85">
        <f t="shared" si="2"/>
        <v>84</v>
      </c>
      <c r="B85" t="s">
        <v>79</v>
      </c>
      <c r="C85">
        <v>140</v>
      </c>
      <c r="D85">
        <v>190</v>
      </c>
      <c r="E85">
        <v>95</v>
      </c>
      <c r="F85">
        <v>206</v>
      </c>
      <c r="G85">
        <v>412</v>
      </c>
      <c r="H85">
        <v>9</v>
      </c>
      <c r="I85">
        <v>9</v>
      </c>
      <c r="J85">
        <v>6</v>
      </c>
      <c r="K85">
        <v>2495</v>
      </c>
      <c r="L85">
        <v>6</v>
      </c>
      <c r="M85">
        <v>209.779</v>
      </c>
      <c r="N85">
        <v>4771</v>
      </c>
      <c r="O85">
        <v>91.2</v>
      </c>
      <c r="P85">
        <v>0</v>
      </c>
      <c r="Q85">
        <v>34.963000000000001</v>
      </c>
    </row>
    <row r="86" spans="1:17" x14ac:dyDescent="0.55000000000000004">
      <c r="A86">
        <f t="shared" si="2"/>
        <v>85</v>
      </c>
      <c r="B86" t="s">
        <v>80</v>
      </c>
      <c r="C86">
        <v>140</v>
      </c>
      <c r="D86">
        <v>190</v>
      </c>
      <c r="E86">
        <v>95</v>
      </c>
      <c r="F86">
        <v>206</v>
      </c>
      <c r="G86">
        <v>412</v>
      </c>
      <c r="H86">
        <v>9</v>
      </c>
      <c r="I86">
        <v>9</v>
      </c>
      <c r="J86">
        <v>2</v>
      </c>
      <c r="K86">
        <v>2495</v>
      </c>
      <c r="L86">
        <v>2</v>
      </c>
      <c r="M86">
        <v>299.45</v>
      </c>
      <c r="N86">
        <v>3113</v>
      </c>
      <c r="O86">
        <v>24.8</v>
      </c>
      <c r="P86">
        <v>0</v>
      </c>
      <c r="Q86">
        <v>149.72499999999999</v>
      </c>
    </row>
    <row r="87" spans="1:17" x14ac:dyDescent="0.55000000000000004">
      <c r="A87">
        <f t="shared" si="2"/>
        <v>86</v>
      </c>
      <c r="B87" t="s">
        <v>81</v>
      </c>
      <c r="C87">
        <v>140</v>
      </c>
      <c r="D87">
        <v>190</v>
      </c>
      <c r="E87">
        <v>95</v>
      </c>
      <c r="F87">
        <v>206</v>
      </c>
      <c r="G87">
        <v>412</v>
      </c>
      <c r="H87">
        <v>9</v>
      </c>
      <c r="I87">
        <v>9</v>
      </c>
      <c r="J87">
        <v>3</v>
      </c>
      <c r="K87">
        <v>2495</v>
      </c>
      <c r="L87">
        <v>3</v>
      </c>
      <c r="M87">
        <v>80.58</v>
      </c>
      <c r="N87">
        <v>3036</v>
      </c>
      <c r="O87">
        <v>21.7</v>
      </c>
      <c r="P87">
        <v>0</v>
      </c>
      <c r="Q87">
        <v>26.86</v>
      </c>
    </row>
    <row r="88" spans="1:17" x14ac:dyDescent="0.55000000000000004">
      <c r="A88">
        <f t="shared" si="2"/>
        <v>87</v>
      </c>
      <c r="B88" t="s">
        <v>109</v>
      </c>
      <c r="C88">
        <v>140</v>
      </c>
      <c r="D88">
        <v>190</v>
      </c>
      <c r="E88">
        <v>95</v>
      </c>
      <c r="F88">
        <v>206</v>
      </c>
      <c r="G88">
        <v>412</v>
      </c>
      <c r="H88">
        <v>9</v>
      </c>
      <c r="I88">
        <v>9</v>
      </c>
      <c r="J88">
        <v>5</v>
      </c>
      <c r="K88">
        <v>2495</v>
      </c>
      <c r="L88">
        <v>5</v>
      </c>
      <c r="M88">
        <v>944.69299999999998</v>
      </c>
      <c r="N88">
        <v>6146</v>
      </c>
      <c r="O88">
        <v>146.30000000000001</v>
      </c>
      <c r="P88">
        <v>0</v>
      </c>
      <c r="Q88">
        <v>188.93899999999999</v>
      </c>
    </row>
    <row r="89" spans="1:17" x14ac:dyDescent="0.55000000000000004">
      <c r="A89">
        <f t="shared" si="2"/>
        <v>88</v>
      </c>
      <c r="B89" t="s">
        <v>110</v>
      </c>
      <c r="C89">
        <v>140</v>
      </c>
      <c r="D89">
        <v>190</v>
      </c>
      <c r="E89">
        <v>95</v>
      </c>
      <c r="F89">
        <v>206</v>
      </c>
      <c r="G89">
        <v>412</v>
      </c>
      <c r="H89">
        <v>9</v>
      </c>
      <c r="I89">
        <v>9</v>
      </c>
      <c r="J89">
        <v>2</v>
      </c>
      <c r="K89">
        <v>2429</v>
      </c>
      <c r="L89">
        <v>2</v>
      </c>
      <c r="M89">
        <v>55.508000000000003</v>
      </c>
      <c r="N89">
        <v>2522</v>
      </c>
      <c r="O89">
        <v>3.8</v>
      </c>
      <c r="P89">
        <v>0</v>
      </c>
      <c r="Q89">
        <v>27.754000000000001</v>
      </c>
    </row>
    <row r="90" spans="1:17" x14ac:dyDescent="0.55000000000000004">
      <c r="A90">
        <f t="shared" si="2"/>
        <v>89</v>
      </c>
      <c r="B90" t="s">
        <v>111</v>
      </c>
      <c r="C90">
        <v>140</v>
      </c>
      <c r="D90">
        <v>190</v>
      </c>
      <c r="E90">
        <v>95</v>
      </c>
      <c r="F90">
        <v>206</v>
      </c>
      <c r="G90">
        <v>412</v>
      </c>
      <c r="H90">
        <v>9</v>
      </c>
      <c r="I90">
        <v>9</v>
      </c>
      <c r="J90">
        <v>6</v>
      </c>
      <c r="K90">
        <v>2450</v>
      </c>
      <c r="L90">
        <v>6</v>
      </c>
      <c r="M90">
        <v>955.29899999999998</v>
      </c>
      <c r="N90">
        <v>7669</v>
      </c>
      <c r="O90">
        <v>213</v>
      </c>
      <c r="P90">
        <v>0</v>
      </c>
      <c r="Q90">
        <v>159.21600000000001</v>
      </c>
    </row>
    <row r="91" spans="1:17" x14ac:dyDescent="0.55000000000000004">
      <c r="A91">
        <f t="shared" si="2"/>
        <v>90</v>
      </c>
      <c r="B91" t="s">
        <v>112</v>
      </c>
      <c r="C91">
        <v>140</v>
      </c>
      <c r="D91">
        <v>190</v>
      </c>
      <c r="E91">
        <v>95</v>
      </c>
      <c r="F91">
        <v>206</v>
      </c>
      <c r="G91">
        <v>412</v>
      </c>
      <c r="H91">
        <v>9</v>
      </c>
      <c r="I91">
        <v>9</v>
      </c>
      <c r="J91">
        <v>1</v>
      </c>
      <c r="K91">
        <v>2434</v>
      </c>
      <c r="L91">
        <v>1</v>
      </c>
      <c r="M91">
        <v>11.46</v>
      </c>
      <c r="N91">
        <v>2950</v>
      </c>
      <c r="O91">
        <v>21.2</v>
      </c>
      <c r="P91">
        <v>0</v>
      </c>
      <c r="Q91">
        <v>11.46</v>
      </c>
    </row>
    <row r="92" spans="1:17" x14ac:dyDescent="0.55000000000000004">
      <c r="A92">
        <f t="shared" si="2"/>
        <v>91</v>
      </c>
      <c r="B92" t="s">
        <v>113</v>
      </c>
      <c r="C92">
        <v>140</v>
      </c>
      <c r="D92">
        <v>190</v>
      </c>
      <c r="E92">
        <v>95</v>
      </c>
      <c r="F92">
        <v>206</v>
      </c>
      <c r="G92">
        <v>412</v>
      </c>
      <c r="H92">
        <v>9</v>
      </c>
      <c r="I92">
        <v>9</v>
      </c>
      <c r="J92">
        <v>3</v>
      </c>
      <c r="K92">
        <v>2470</v>
      </c>
      <c r="L92">
        <v>3</v>
      </c>
      <c r="M92">
        <v>11.189</v>
      </c>
      <c r="N92">
        <v>3588</v>
      </c>
      <c r="O92">
        <v>45.3</v>
      </c>
      <c r="P92">
        <v>0</v>
      </c>
      <c r="Q92">
        <v>3.73</v>
      </c>
    </row>
    <row r="93" spans="1:17" x14ac:dyDescent="0.55000000000000004">
      <c r="A93">
        <f t="shared" si="2"/>
        <v>92</v>
      </c>
      <c r="B93" t="s">
        <v>114</v>
      </c>
      <c r="C93">
        <v>140</v>
      </c>
      <c r="D93">
        <v>190</v>
      </c>
      <c r="E93">
        <v>95</v>
      </c>
      <c r="F93">
        <v>206</v>
      </c>
      <c r="G93">
        <v>412</v>
      </c>
      <c r="H93">
        <v>9</v>
      </c>
      <c r="I93">
        <v>9</v>
      </c>
      <c r="J93">
        <v>6</v>
      </c>
      <c r="K93">
        <v>2456</v>
      </c>
      <c r="L93">
        <v>6</v>
      </c>
      <c r="M93">
        <v>903.57899999999995</v>
      </c>
      <c r="N93">
        <v>6613</v>
      </c>
      <c r="O93">
        <v>169.3</v>
      </c>
      <c r="P93">
        <v>0</v>
      </c>
      <c r="Q93">
        <v>150.596</v>
      </c>
    </row>
    <row r="94" spans="1:17" x14ac:dyDescent="0.55000000000000004">
      <c r="A94">
        <f t="shared" si="2"/>
        <v>93</v>
      </c>
      <c r="B94" t="s">
        <v>115</v>
      </c>
      <c r="C94">
        <v>140</v>
      </c>
      <c r="D94">
        <v>190</v>
      </c>
      <c r="E94">
        <v>95</v>
      </c>
      <c r="F94">
        <v>206</v>
      </c>
      <c r="G94">
        <v>412</v>
      </c>
      <c r="H94">
        <v>9</v>
      </c>
      <c r="I94">
        <v>9</v>
      </c>
      <c r="J94">
        <v>1</v>
      </c>
      <c r="K94">
        <v>2520</v>
      </c>
      <c r="L94">
        <v>1</v>
      </c>
      <c r="M94">
        <v>19.652999999999999</v>
      </c>
      <c r="N94">
        <v>3044</v>
      </c>
      <c r="O94">
        <v>20.8</v>
      </c>
      <c r="P94">
        <v>0</v>
      </c>
      <c r="Q94">
        <v>19.652999999999999</v>
      </c>
    </row>
    <row r="95" spans="1:17" x14ac:dyDescent="0.55000000000000004">
      <c r="A95">
        <f t="shared" si="2"/>
        <v>94</v>
      </c>
      <c r="B95" t="s">
        <v>116</v>
      </c>
      <c r="C95">
        <v>140</v>
      </c>
      <c r="D95">
        <v>190</v>
      </c>
      <c r="E95">
        <v>95</v>
      </c>
      <c r="F95">
        <v>206</v>
      </c>
      <c r="G95">
        <v>412</v>
      </c>
      <c r="H95">
        <v>9</v>
      </c>
      <c r="I95">
        <v>9</v>
      </c>
      <c r="J95">
        <v>5</v>
      </c>
      <c r="K95">
        <v>2520</v>
      </c>
      <c r="L95">
        <v>5</v>
      </c>
      <c r="M95">
        <v>233.023</v>
      </c>
      <c r="N95">
        <v>5433</v>
      </c>
      <c r="O95">
        <v>115.6</v>
      </c>
      <c r="P95">
        <v>0</v>
      </c>
      <c r="Q95">
        <v>46.604999999999997</v>
      </c>
    </row>
    <row r="96" spans="1:17" x14ac:dyDescent="0.55000000000000004">
      <c r="A96">
        <f t="shared" si="2"/>
        <v>95</v>
      </c>
      <c r="B96" t="s">
        <v>117</v>
      </c>
      <c r="C96">
        <v>140</v>
      </c>
      <c r="D96">
        <v>190</v>
      </c>
      <c r="E96">
        <v>95</v>
      </c>
      <c r="F96">
        <v>206</v>
      </c>
      <c r="G96">
        <v>412</v>
      </c>
      <c r="H96">
        <v>9</v>
      </c>
      <c r="I96">
        <v>9</v>
      </c>
      <c r="J96">
        <v>3</v>
      </c>
      <c r="K96">
        <v>2520</v>
      </c>
      <c r="L96">
        <v>3</v>
      </c>
      <c r="M96">
        <v>24.417000000000002</v>
      </c>
      <c r="N96">
        <v>3659</v>
      </c>
      <c r="O96">
        <v>45.2</v>
      </c>
      <c r="P96">
        <v>0</v>
      </c>
      <c r="Q96">
        <v>8.1389999999999993</v>
      </c>
    </row>
    <row r="97" spans="1:17" x14ac:dyDescent="0.55000000000000004">
      <c r="A97">
        <f t="shared" si="2"/>
        <v>96</v>
      </c>
      <c r="B97" t="s">
        <v>119</v>
      </c>
      <c r="C97">
        <v>140</v>
      </c>
      <c r="D97">
        <v>190</v>
      </c>
      <c r="E97">
        <v>95</v>
      </c>
      <c r="F97">
        <v>206</v>
      </c>
      <c r="G97">
        <v>412</v>
      </c>
      <c r="H97">
        <v>9</v>
      </c>
      <c r="I97">
        <v>9</v>
      </c>
      <c r="J97">
        <v>4</v>
      </c>
      <c r="K97">
        <v>2520</v>
      </c>
      <c r="L97">
        <v>4</v>
      </c>
      <c r="M97">
        <v>979.99699999999996</v>
      </c>
      <c r="N97">
        <v>3806</v>
      </c>
      <c r="O97">
        <v>51</v>
      </c>
      <c r="P97">
        <v>0</v>
      </c>
      <c r="Q97">
        <v>244.999</v>
      </c>
    </row>
    <row r="98" spans="1:17" x14ac:dyDescent="0.55000000000000004">
      <c r="A98">
        <f t="shared" ref="A98:A129" si="3">VALUE(MID(B98, FIND(".", B98) + 1, LEN(B98)))</f>
        <v>97</v>
      </c>
      <c r="B98" t="s">
        <v>120</v>
      </c>
      <c r="C98">
        <v>140</v>
      </c>
      <c r="D98">
        <v>190</v>
      </c>
      <c r="E98">
        <v>95</v>
      </c>
      <c r="F98">
        <v>206</v>
      </c>
      <c r="G98">
        <v>412</v>
      </c>
      <c r="H98">
        <v>9</v>
      </c>
      <c r="I98">
        <v>9</v>
      </c>
      <c r="J98">
        <v>5</v>
      </c>
      <c r="K98">
        <v>2520</v>
      </c>
      <c r="L98">
        <v>5</v>
      </c>
      <c r="M98">
        <v>486.017</v>
      </c>
      <c r="N98">
        <v>5469</v>
      </c>
      <c r="O98">
        <v>117</v>
      </c>
      <c r="P98">
        <v>0</v>
      </c>
      <c r="Q98">
        <v>97.203000000000003</v>
      </c>
    </row>
    <row r="99" spans="1:17" x14ac:dyDescent="0.55000000000000004">
      <c r="A99">
        <f t="shared" si="3"/>
        <v>98</v>
      </c>
      <c r="B99" t="s">
        <v>121</v>
      </c>
      <c r="C99">
        <v>140</v>
      </c>
      <c r="D99">
        <v>190</v>
      </c>
      <c r="E99">
        <v>95</v>
      </c>
      <c r="F99">
        <v>206</v>
      </c>
      <c r="G99">
        <v>412</v>
      </c>
      <c r="H99">
        <v>9</v>
      </c>
      <c r="I99">
        <v>9</v>
      </c>
      <c r="J99">
        <v>2</v>
      </c>
      <c r="K99">
        <v>2508</v>
      </c>
      <c r="L99">
        <v>2</v>
      </c>
      <c r="M99">
        <v>88.566999999999993</v>
      </c>
      <c r="N99">
        <v>3668</v>
      </c>
      <c r="O99">
        <v>46.3</v>
      </c>
      <c r="P99">
        <v>0</v>
      </c>
      <c r="Q99">
        <v>44.283000000000001</v>
      </c>
    </row>
    <row r="100" spans="1:17" x14ac:dyDescent="0.55000000000000004">
      <c r="A100">
        <f t="shared" si="3"/>
        <v>99</v>
      </c>
      <c r="B100" t="s">
        <v>122</v>
      </c>
      <c r="C100">
        <v>140</v>
      </c>
      <c r="D100">
        <v>190</v>
      </c>
      <c r="E100">
        <v>95</v>
      </c>
      <c r="F100">
        <v>206</v>
      </c>
      <c r="G100">
        <v>412</v>
      </c>
      <c r="H100">
        <v>9</v>
      </c>
      <c r="I100">
        <v>9</v>
      </c>
      <c r="J100">
        <v>5</v>
      </c>
      <c r="K100">
        <v>2508</v>
      </c>
      <c r="L100">
        <v>5</v>
      </c>
      <c r="M100">
        <v>295.30599999999998</v>
      </c>
      <c r="N100">
        <v>4291</v>
      </c>
      <c r="O100">
        <v>71.099999999999994</v>
      </c>
      <c r="P100">
        <v>0</v>
      </c>
      <c r="Q100">
        <v>59.061</v>
      </c>
    </row>
    <row r="101" spans="1:17" x14ac:dyDescent="0.55000000000000004">
      <c r="A101">
        <f t="shared" si="3"/>
        <v>100</v>
      </c>
      <c r="B101" t="s">
        <v>75</v>
      </c>
      <c r="C101">
        <v>140</v>
      </c>
      <c r="D101">
        <v>190</v>
      </c>
      <c r="E101">
        <v>95</v>
      </c>
      <c r="F101">
        <v>206</v>
      </c>
      <c r="G101">
        <v>412</v>
      </c>
      <c r="H101">
        <v>9</v>
      </c>
      <c r="I101">
        <v>9</v>
      </c>
      <c r="J101">
        <v>1</v>
      </c>
      <c r="K101">
        <v>2508</v>
      </c>
      <c r="L101">
        <v>1</v>
      </c>
      <c r="M101">
        <v>52.642000000000003</v>
      </c>
      <c r="N101">
        <v>3123</v>
      </c>
      <c r="O101">
        <v>24.5</v>
      </c>
      <c r="P101">
        <v>0</v>
      </c>
      <c r="Q101">
        <v>52.642000000000003</v>
      </c>
    </row>
    <row r="102" spans="1:17" x14ac:dyDescent="0.55000000000000004">
      <c r="A102">
        <f t="shared" si="3"/>
        <v>101</v>
      </c>
      <c r="B102" t="s">
        <v>82</v>
      </c>
      <c r="C102">
        <v>140</v>
      </c>
      <c r="D102">
        <v>190</v>
      </c>
      <c r="E102">
        <v>95</v>
      </c>
      <c r="F102">
        <v>206</v>
      </c>
      <c r="G102">
        <v>412</v>
      </c>
      <c r="H102">
        <v>9</v>
      </c>
      <c r="I102">
        <v>9</v>
      </c>
      <c r="J102">
        <v>2</v>
      </c>
      <c r="K102">
        <v>2508</v>
      </c>
      <c r="L102">
        <v>2</v>
      </c>
      <c r="M102">
        <v>135.113</v>
      </c>
      <c r="N102">
        <v>3090</v>
      </c>
      <c r="O102">
        <v>23.2</v>
      </c>
      <c r="P102">
        <v>0</v>
      </c>
      <c r="Q102">
        <v>67.555999999999997</v>
      </c>
    </row>
    <row r="103" spans="1:17" x14ac:dyDescent="0.55000000000000004">
      <c r="A103">
        <f t="shared" si="3"/>
        <v>102</v>
      </c>
      <c r="B103" t="s">
        <v>83</v>
      </c>
      <c r="C103">
        <v>140</v>
      </c>
      <c r="D103">
        <v>190</v>
      </c>
      <c r="E103">
        <v>95</v>
      </c>
      <c r="F103">
        <v>206</v>
      </c>
      <c r="G103">
        <v>412</v>
      </c>
      <c r="H103">
        <v>9</v>
      </c>
      <c r="I103">
        <v>9</v>
      </c>
      <c r="J103">
        <v>6</v>
      </c>
      <c r="K103">
        <v>2508</v>
      </c>
      <c r="L103">
        <v>6</v>
      </c>
      <c r="M103">
        <v>522.50400000000002</v>
      </c>
      <c r="N103">
        <v>6608</v>
      </c>
      <c r="O103">
        <v>163.5</v>
      </c>
      <c r="P103">
        <v>0</v>
      </c>
      <c r="Q103">
        <v>87.084000000000003</v>
      </c>
    </row>
    <row r="104" spans="1:17" x14ac:dyDescent="0.55000000000000004">
      <c r="A104">
        <f t="shared" si="3"/>
        <v>103</v>
      </c>
      <c r="B104" t="s">
        <v>84</v>
      </c>
      <c r="C104">
        <v>140</v>
      </c>
      <c r="D104">
        <v>190</v>
      </c>
      <c r="E104">
        <v>95</v>
      </c>
      <c r="F104">
        <v>206</v>
      </c>
      <c r="G104">
        <v>412</v>
      </c>
      <c r="H104">
        <v>9</v>
      </c>
      <c r="I104">
        <v>9</v>
      </c>
      <c r="J104">
        <v>2</v>
      </c>
      <c r="K104">
        <v>2502</v>
      </c>
      <c r="L104">
        <v>2</v>
      </c>
      <c r="M104">
        <v>72.040999999999997</v>
      </c>
      <c r="N104">
        <v>3562</v>
      </c>
      <c r="O104">
        <v>42.4</v>
      </c>
      <c r="P104">
        <v>0</v>
      </c>
      <c r="Q104">
        <v>36.020000000000003</v>
      </c>
    </row>
    <row r="105" spans="1:17" x14ac:dyDescent="0.55000000000000004">
      <c r="A105">
        <f t="shared" si="3"/>
        <v>104</v>
      </c>
      <c r="B105" t="s">
        <v>85</v>
      </c>
      <c r="C105">
        <v>140</v>
      </c>
      <c r="D105">
        <v>190</v>
      </c>
      <c r="E105">
        <v>95</v>
      </c>
      <c r="F105">
        <v>206</v>
      </c>
      <c r="G105">
        <v>412</v>
      </c>
      <c r="H105">
        <v>9</v>
      </c>
      <c r="I105">
        <v>9</v>
      </c>
      <c r="J105">
        <v>2</v>
      </c>
      <c r="K105">
        <v>2515</v>
      </c>
      <c r="L105">
        <v>2</v>
      </c>
      <c r="M105">
        <v>215.85300000000001</v>
      </c>
      <c r="N105">
        <v>3513</v>
      </c>
      <c r="O105">
        <v>39.700000000000003</v>
      </c>
      <c r="P105">
        <v>0</v>
      </c>
      <c r="Q105">
        <v>107.92700000000001</v>
      </c>
    </row>
    <row r="106" spans="1:17" x14ac:dyDescent="0.55000000000000004">
      <c r="A106">
        <f t="shared" si="3"/>
        <v>105</v>
      </c>
      <c r="B106" t="s">
        <v>86</v>
      </c>
      <c r="C106">
        <v>140</v>
      </c>
      <c r="D106">
        <v>190</v>
      </c>
      <c r="E106">
        <v>95</v>
      </c>
      <c r="F106">
        <v>206</v>
      </c>
      <c r="G106">
        <v>412</v>
      </c>
      <c r="H106">
        <v>9</v>
      </c>
      <c r="I106">
        <v>9</v>
      </c>
      <c r="J106">
        <v>5</v>
      </c>
      <c r="K106">
        <v>2521</v>
      </c>
      <c r="L106">
        <v>5</v>
      </c>
      <c r="M106">
        <v>662.34100000000001</v>
      </c>
      <c r="N106">
        <v>4919</v>
      </c>
      <c r="O106">
        <v>95.1</v>
      </c>
      <c r="P106">
        <v>0</v>
      </c>
      <c r="Q106">
        <v>132.46799999999999</v>
      </c>
    </row>
    <row r="107" spans="1:17" x14ac:dyDescent="0.55000000000000004">
      <c r="A107">
        <f t="shared" si="3"/>
        <v>106</v>
      </c>
      <c r="B107" t="s">
        <v>118</v>
      </c>
      <c r="C107">
        <v>140</v>
      </c>
      <c r="D107">
        <v>190</v>
      </c>
      <c r="E107">
        <v>95</v>
      </c>
      <c r="F107">
        <v>206</v>
      </c>
      <c r="G107">
        <v>412</v>
      </c>
      <c r="H107">
        <v>9</v>
      </c>
      <c r="I107">
        <v>9</v>
      </c>
      <c r="J107">
        <v>2</v>
      </c>
      <c r="K107">
        <v>2521</v>
      </c>
      <c r="L107">
        <v>2</v>
      </c>
      <c r="M107">
        <v>180.28700000000001</v>
      </c>
      <c r="N107">
        <v>3639</v>
      </c>
      <c r="O107">
        <v>44.3</v>
      </c>
      <c r="P107">
        <v>0</v>
      </c>
      <c r="Q107">
        <v>90.144000000000005</v>
      </c>
    </row>
    <row r="108" spans="1:17" x14ac:dyDescent="0.55000000000000004">
      <c r="A108">
        <f t="shared" si="3"/>
        <v>107</v>
      </c>
      <c r="B108" t="s">
        <v>123</v>
      </c>
      <c r="C108">
        <v>140</v>
      </c>
      <c r="D108">
        <v>190</v>
      </c>
      <c r="E108">
        <v>95</v>
      </c>
      <c r="F108">
        <v>206</v>
      </c>
      <c r="G108">
        <v>412</v>
      </c>
      <c r="H108">
        <v>9</v>
      </c>
      <c r="I108">
        <v>9</v>
      </c>
      <c r="J108">
        <v>5</v>
      </c>
      <c r="K108">
        <v>2521</v>
      </c>
      <c r="L108">
        <v>5</v>
      </c>
      <c r="M108">
        <v>981.44600000000003</v>
      </c>
      <c r="N108">
        <v>5919</v>
      </c>
      <c r="O108">
        <v>134.80000000000001</v>
      </c>
      <c r="P108">
        <v>0</v>
      </c>
      <c r="Q108">
        <v>196.28899999999999</v>
      </c>
    </row>
    <row r="109" spans="1:17" x14ac:dyDescent="0.55000000000000004">
      <c r="A109">
        <f t="shared" si="3"/>
        <v>108</v>
      </c>
      <c r="B109" t="s">
        <v>124</v>
      </c>
      <c r="C109">
        <v>140</v>
      </c>
      <c r="D109">
        <v>190</v>
      </c>
      <c r="E109">
        <v>95</v>
      </c>
      <c r="F109">
        <v>206</v>
      </c>
      <c r="G109">
        <v>412</v>
      </c>
      <c r="H109">
        <v>9</v>
      </c>
      <c r="I109">
        <v>9</v>
      </c>
      <c r="J109">
        <v>4</v>
      </c>
      <c r="K109">
        <v>1933</v>
      </c>
      <c r="L109">
        <v>4</v>
      </c>
      <c r="M109">
        <v>238.16</v>
      </c>
      <c r="N109">
        <v>4229</v>
      </c>
      <c r="O109">
        <v>118.8</v>
      </c>
      <c r="P109">
        <v>0</v>
      </c>
      <c r="Q109">
        <v>59.54</v>
      </c>
    </row>
    <row r="110" spans="1:17" x14ac:dyDescent="0.55000000000000004">
      <c r="A110">
        <f t="shared" si="3"/>
        <v>109</v>
      </c>
      <c r="B110" t="s">
        <v>125</v>
      </c>
      <c r="C110">
        <v>140</v>
      </c>
      <c r="D110">
        <v>190</v>
      </c>
      <c r="E110">
        <v>95</v>
      </c>
      <c r="F110">
        <v>206</v>
      </c>
      <c r="G110">
        <v>412</v>
      </c>
      <c r="H110">
        <v>9</v>
      </c>
      <c r="I110">
        <v>9</v>
      </c>
      <c r="J110">
        <v>6</v>
      </c>
      <c r="K110">
        <v>1933</v>
      </c>
      <c r="L110">
        <v>6</v>
      </c>
      <c r="M110">
        <v>399.22699999999998</v>
      </c>
      <c r="N110">
        <v>7119</v>
      </c>
      <c r="O110">
        <v>268.3</v>
      </c>
      <c r="P110">
        <v>0</v>
      </c>
      <c r="Q110">
        <v>66.537999999999997</v>
      </c>
    </row>
    <row r="111" spans="1:17" x14ac:dyDescent="0.55000000000000004">
      <c r="A111">
        <f t="shared" si="3"/>
        <v>110</v>
      </c>
      <c r="B111" t="s">
        <v>126</v>
      </c>
      <c r="C111">
        <v>140</v>
      </c>
      <c r="D111">
        <v>190</v>
      </c>
      <c r="E111">
        <v>95</v>
      </c>
      <c r="F111">
        <v>206</v>
      </c>
      <c r="G111">
        <v>412</v>
      </c>
      <c r="H111">
        <v>9</v>
      </c>
      <c r="I111">
        <v>9</v>
      </c>
      <c r="J111">
        <v>3</v>
      </c>
      <c r="K111">
        <v>1944</v>
      </c>
      <c r="L111">
        <v>3</v>
      </c>
      <c r="M111">
        <v>58.637</v>
      </c>
      <c r="N111">
        <v>3576</v>
      </c>
      <c r="O111">
        <v>84</v>
      </c>
      <c r="P111">
        <v>0</v>
      </c>
      <c r="Q111">
        <v>19.545999999999999</v>
      </c>
    </row>
    <row r="112" spans="1:17" x14ac:dyDescent="0.55000000000000004">
      <c r="A112">
        <f t="shared" si="3"/>
        <v>111</v>
      </c>
      <c r="B112" t="s">
        <v>127</v>
      </c>
      <c r="C112">
        <v>140</v>
      </c>
      <c r="D112">
        <v>190</v>
      </c>
      <c r="E112">
        <v>95</v>
      </c>
      <c r="F112">
        <v>206</v>
      </c>
      <c r="G112">
        <v>412</v>
      </c>
      <c r="H112">
        <v>9</v>
      </c>
      <c r="I112">
        <v>9</v>
      </c>
      <c r="J112">
        <v>6</v>
      </c>
      <c r="K112">
        <v>1948</v>
      </c>
      <c r="L112">
        <v>6</v>
      </c>
      <c r="M112">
        <v>430.49099999999999</v>
      </c>
      <c r="N112">
        <v>6023</v>
      </c>
      <c r="O112">
        <v>209.2</v>
      </c>
      <c r="P112">
        <v>0</v>
      </c>
      <c r="Q112">
        <v>71.748000000000005</v>
      </c>
    </row>
    <row r="113" spans="1:17" x14ac:dyDescent="0.55000000000000004">
      <c r="A113">
        <f t="shared" si="3"/>
        <v>112</v>
      </c>
      <c r="B113" t="s">
        <v>128</v>
      </c>
      <c r="C113">
        <v>140</v>
      </c>
      <c r="D113">
        <v>190</v>
      </c>
      <c r="E113">
        <v>95</v>
      </c>
      <c r="F113">
        <v>206</v>
      </c>
      <c r="G113">
        <v>412</v>
      </c>
      <c r="H113">
        <v>9</v>
      </c>
      <c r="I113">
        <v>9</v>
      </c>
      <c r="J113">
        <v>5</v>
      </c>
      <c r="K113">
        <v>1948</v>
      </c>
      <c r="L113">
        <v>5</v>
      </c>
      <c r="M113">
        <v>321.70699999999999</v>
      </c>
      <c r="N113">
        <v>4120</v>
      </c>
      <c r="O113">
        <v>111.5</v>
      </c>
      <c r="P113">
        <v>0</v>
      </c>
      <c r="Q113">
        <v>64.340999999999994</v>
      </c>
    </row>
  </sheetData>
  <sortState xmlns:xlrd2="http://schemas.microsoft.com/office/spreadsheetml/2017/richdata2" ref="A2:Q113">
    <sortCondition ref="A2:A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centralized_auction_algorithm_e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2025-11-15T02:28:51Z</dcterms:created>
  <dcterms:modified xsi:type="dcterms:W3CDTF">2025-11-15T03:30:29Z</dcterms:modified>
</cp:coreProperties>
</file>